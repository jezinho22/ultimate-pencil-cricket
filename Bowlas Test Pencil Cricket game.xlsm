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zjo\Documents\Data_science\Eng v The World\"/>
    </mc:Choice>
  </mc:AlternateContent>
  <xr:revisionPtr revIDLastSave="0" documentId="13_ncr:1_{984EF3A1-06AD-4588-A16F-AAA35D84360A}" xr6:coauthVersionLast="47" xr6:coauthVersionMax="47" xr10:uidLastSave="{00000000-0000-0000-0000-000000000000}"/>
  <bookViews>
    <workbookView xWindow="-108" yWindow="-108" windowWidth="23256" windowHeight="13176" xr2:uid="{C16A0C07-25EB-44A7-B60A-AC25430ED862}"/>
  </bookViews>
  <sheets>
    <sheet name="Instructions" sheetId="17" r:id="rId1"/>
    <sheet name="Team sheet" sheetId="13" r:id="rId2"/>
    <sheet name="Match sheet" sheetId="1" r:id="rId3"/>
    <sheet name="info" sheetId="2" r:id="rId4"/>
    <sheet name="Innings scorecards" sheetId="1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" i="1" l="1"/>
  <c r="E4" i="1"/>
  <c r="S29" i="1" l="1"/>
  <c r="F29" i="1"/>
  <c r="I14" i="13"/>
  <c r="H14" i="13"/>
  <c r="D14" i="13"/>
  <c r="C14" i="13"/>
  <c r="O8" i="1"/>
  <c r="P8" i="1"/>
  <c r="Q8" i="1"/>
  <c r="Q7" i="1"/>
  <c r="P7" i="1"/>
  <c r="O7" i="1"/>
  <c r="T29" i="1" l="1"/>
  <c r="O3" i="1"/>
  <c r="G3" i="1"/>
  <c r="K4" i="1"/>
  <c r="J2" i="1"/>
  <c r="J19" i="1" l="1"/>
  <c r="J20" i="1"/>
  <c r="J21" i="1"/>
  <c r="J22" i="1"/>
  <c r="J23" i="1"/>
  <c r="J24" i="1"/>
  <c r="J25" i="1"/>
  <c r="J26" i="1"/>
  <c r="J27" i="1"/>
  <c r="J28" i="1"/>
  <c r="J18" i="1"/>
  <c r="P19" i="1"/>
  <c r="T19" i="1" s="1"/>
  <c r="P20" i="1"/>
  <c r="T20" i="1" s="1"/>
  <c r="P21" i="1"/>
  <c r="T21" i="1" s="1"/>
  <c r="P22" i="1"/>
  <c r="T22" i="1" s="1"/>
  <c r="P23" i="1"/>
  <c r="T23" i="1" s="1"/>
  <c r="P24" i="1"/>
  <c r="P25" i="1"/>
  <c r="T25" i="1" s="1"/>
  <c r="P26" i="1"/>
  <c r="T26" i="1" s="1"/>
  <c r="P27" i="1"/>
  <c r="P28" i="1"/>
  <c r="P18" i="1"/>
  <c r="T18" i="1" s="1"/>
  <c r="R8" i="1" l="1"/>
  <c r="T24" i="1"/>
  <c r="R7" i="1"/>
  <c r="P29" i="1"/>
  <c r="K5" i="1" s="1"/>
  <c r="T27" i="1"/>
  <c r="T28" i="1"/>
</calcChain>
</file>

<file path=xl/sharedStrings.xml><?xml version="1.0" encoding="utf-8"?>
<sst xmlns="http://schemas.openxmlformats.org/spreadsheetml/2006/main" count="244" uniqueCount="161">
  <si>
    <t>b</t>
  </si>
  <si>
    <t>c</t>
  </si>
  <si>
    <t>out</t>
  </si>
  <si>
    <t>runs</t>
  </si>
  <si>
    <t>balls</t>
  </si>
  <si>
    <t>4s</t>
  </si>
  <si>
    <t>6s</t>
  </si>
  <si>
    <t>s.r</t>
  </si>
  <si>
    <t>overs</t>
  </si>
  <si>
    <t>maidens</t>
  </si>
  <si>
    <t>wickets</t>
  </si>
  <si>
    <t>econ</t>
  </si>
  <si>
    <t>Gooch</t>
  </si>
  <si>
    <t>Smith</t>
  </si>
  <si>
    <t>Russell</t>
  </si>
  <si>
    <t>Hoggard</t>
  </si>
  <si>
    <t>Anderson</t>
  </si>
  <si>
    <t>Inzamam</t>
  </si>
  <si>
    <t>Jayasuriya</t>
  </si>
  <si>
    <t>bat</t>
  </si>
  <si>
    <t>bowl</t>
  </si>
  <si>
    <t>lbw</t>
  </si>
  <si>
    <t>ro</t>
  </si>
  <si>
    <t>shot</t>
  </si>
  <si>
    <t>caught</t>
  </si>
  <si>
    <t>appeal</t>
  </si>
  <si>
    <t>Dotball comment</t>
  </si>
  <si>
    <t>wk</t>
  </si>
  <si>
    <t>for</t>
  </si>
  <si>
    <t>l</t>
  </si>
  <si>
    <t>bowlers</t>
  </si>
  <si>
    <t xml:space="preserve">Last wkt   </t>
  </si>
  <si>
    <t xml:space="preserve">Last bat    </t>
  </si>
  <si>
    <t xml:space="preserve">How out   </t>
  </si>
  <si>
    <t>name</t>
  </si>
  <si>
    <t>no.</t>
  </si>
  <si>
    <t>This over</t>
  </si>
  <si>
    <t>Last over</t>
  </si>
  <si>
    <t>not out</t>
  </si>
  <si>
    <t>Fall of wickets</t>
  </si>
  <si>
    <t xml:space="preserve">dictBowling = {5: [15, 100, 14, 10, 5, 5, 1], </t>
  </si>
  <si>
    <t xml:space="preserve">               4: [10, 75, 30, 10, 8, 15, 2], </t>
  </si>
  <si>
    <t xml:space="preserve">               3: [8, 50, 40, 20, 10, 18, 4], </t>
  </si>
  <si>
    <t xml:space="preserve">               2: [5, 30, 30, 30, 15, 30, 10], </t>
  </si>
  <si>
    <t xml:space="preserve">               1: [3, 20, 22, 35, 20, 35, 20]}</t>
  </si>
  <si>
    <t xml:space="preserve">dictBowler_Attack= {'balbowl': [-1, -1, -1, 0, 0, 1, 1, 2, 4, 6], </t>
  </si>
  <si>
    <t xml:space="preserve">                    'aggbowl': [-1, -1, -1, -1, 2, 4, 4, 6, 6, 6], </t>
  </si>
  <si>
    <t xml:space="preserve">                    'defbowl': [-1, -1, 0, 0, 0, 0, 1, 1, 1, 4]}</t>
  </si>
  <si>
    <t xml:space="preserve">dictBatter_Attack= {'balbat': [-5, 0, 0, 0, 1, 1, 2, 3, 4, 4], </t>
  </si>
  <si>
    <t xml:space="preserve">                    'aggbat': [-5, -5, 0, 0, 1, 2, 3, 4, 4, 6], </t>
  </si>
  <si>
    <t xml:space="preserve">                    'defbat': [0, 0, 0, 0, 0, 0, 1, 1, 4, 4]}</t>
  </si>
  <si>
    <t>First innings</t>
  </si>
  <si>
    <t>vs</t>
  </si>
  <si>
    <t>Second innings</t>
  </si>
  <si>
    <t>They've offered him the single but he's not taking it. No run.</t>
  </si>
  <si>
    <t>That's a jaffer! Unplayable!</t>
  </si>
  <si>
    <t>Ooh! That one went right through him.</t>
  </si>
  <si>
    <t>Swinging like a rusty gate. He's lucky that wasn't on the stumps.</t>
  </si>
  <si>
    <t>Too good for him. Just past the edge.</t>
  </si>
  <si>
    <t>Edged! And safe. What a ball!</t>
  </si>
  <si>
    <t>Edged! Just short of the keeper. Soft hands stop the ball carrying.</t>
  </si>
  <si>
    <t>Ouch! The ball thumps into his ribs.</t>
  </si>
  <si>
    <t>Badged! The ball has hit him square on the helmet.</t>
  </si>
  <si>
    <t>A swing and a miss. Oh dear. My mother could've hit that with a stick of rhubarb.</t>
  </si>
  <si>
    <t>Good leave. Judged the length perfectly.</t>
  </si>
  <si>
    <t>Good leave. That was the outswinger.</t>
  </si>
  <si>
    <t>How on earth did that miss the stumps? What a ball!</t>
  </si>
  <si>
    <t>Defends into the off side. No run.</t>
  </si>
  <si>
    <t>Some wags in the crowd are appealing but that was a bump ball.</t>
  </si>
  <si>
    <t>Oh good fielding! No run.</t>
  </si>
  <si>
    <t>Stopped by the shins of the leg slip. Ouch. No run.</t>
  </si>
  <si>
    <t>Didn't time that one. No run.</t>
  </si>
  <si>
    <t>Lovely timing but straight to the fielder. No run.</t>
  </si>
  <si>
    <t>That one did a little but not enough. Squirts off the bat and there's no run.</t>
  </si>
  <si>
    <t>Big swing! No contact. The batsman has shown his colours but there is no run.</t>
  </si>
  <si>
    <t xml:space="preserve">That's a jaffer! Unplayable! </t>
  </si>
  <si>
    <t xml:space="preserve">That's a jaffer! Unplayable!   </t>
  </si>
  <si>
    <t>Defends into the off side and they go through for a single.</t>
  </si>
  <si>
    <t>They'll come back for a second ... And they do. Two runs.</t>
  </si>
  <si>
    <t>Bisects the field and they should get three for this ... And they do.</t>
  </si>
  <si>
    <t>Oh good running - he arrives in the crease in plenty of time to make it three runs.</t>
  </si>
  <si>
    <t>A quick single keeps the scoreboard ticking over.</t>
  </si>
  <si>
    <t>A glorious cover drive that was four the moment it left the bat</t>
  </si>
  <si>
    <t>Is that going all the way? Not quite. Four runs.</t>
  </si>
  <si>
    <t>Dispatched off his legs for four.</t>
  </si>
  <si>
    <t>It's in the air! And flies between second and third slip for four runs.</t>
  </si>
  <si>
    <t>Straight back over the bowler's head. And it's gone all the way! Six runs!</t>
  </si>
  <si>
    <t>That got the treatment. He swings it over deep square leg for six.</t>
  </si>
  <si>
    <t xml:space="preserve">That has gone miles! And well held that spectator! Six runs. </t>
  </si>
  <si>
    <t>innings</t>
  </si>
  <si>
    <t xml:space="preserve">Team name: </t>
  </si>
  <si>
    <t>Players</t>
  </si>
  <si>
    <t>Total</t>
  </si>
  <si>
    <t>max 30</t>
  </si>
  <si>
    <t>Bowling
rating /5</t>
  </si>
  <si>
    <t>Batting
rating /5</t>
  </si>
  <si>
    <t>Gatting</t>
  </si>
  <si>
    <t>Gower</t>
  </si>
  <si>
    <t>Botham</t>
  </si>
  <si>
    <t>Bell</t>
  </si>
  <si>
    <t>Connor</t>
  </si>
  <si>
    <t>Engineer</t>
  </si>
  <si>
    <t>Lara</t>
  </si>
  <si>
    <t>Greenwich</t>
  </si>
  <si>
    <t>Pollock</t>
  </si>
  <si>
    <t>Richards</t>
  </si>
  <si>
    <t>Dhoni</t>
  </si>
  <si>
    <t>Stark</t>
  </si>
  <si>
    <t>Waqar Younis</t>
  </si>
  <si>
    <t>Murali</t>
  </si>
  <si>
    <t>max 25</t>
  </si>
  <si>
    <t>World</t>
  </si>
  <si>
    <t>England</t>
  </si>
  <si>
    <t>Innings:</t>
  </si>
  <si>
    <t>Bowler</t>
  </si>
  <si>
    <t>Hat check</t>
  </si>
  <si>
    <t>AA</t>
  </si>
  <si>
    <t>BA</t>
  </si>
  <si>
    <t>CA</t>
  </si>
  <si>
    <t>DA</t>
  </si>
  <si>
    <t>EA</t>
  </si>
  <si>
    <t>AB</t>
  </si>
  <si>
    <t>AC</t>
  </si>
  <si>
    <t>AD</t>
  </si>
  <si>
    <t>AE</t>
  </si>
  <si>
    <t>Tuffnell</t>
  </si>
  <si>
    <t>The bowler fields it and shows his soccer skills. Little bit of keepy-up and there's no run.</t>
  </si>
  <si>
    <t>Sehwag</t>
  </si>
  <si>
    <t>Shannon Gabriel</t>
  </si>
  <si>
    <t>Khaled Mashud</t>
  </si>
  <si>
    <t>Steve Smith</t>
  </si>
  <si>
    <t>Cook</t>
  </si>
  <si>
    <t>Marc Boucher</t>
  </si>
  <si>
    <t>Kemar Roach</t>
  </si>
  <si>
    <t>Chris Martin</t>
  </si>
  <si>
    <t>Danesh Kaneria</t>
  </si>
  <si>
    <t>recovery</t>
  </si>
  <si>
    <t>password is jez</t>
  </si>
  <si>
    <t xml:space="preserve">Your bowling ratings can add up to 25 </t>
  </si>
  <si>
    <t>Your batting ratings can add up to 30</t>
  </si>
  <si>
    <t>Give each player a batting and bowling rating out of 5 - if it is more than 5 it won't work</t>
  </si>
  <si>
    <t>Put wk  as the bowling rating for the wicketkeeper</t>
  </si>
  <si>
    <t>At the end of each innings the scorecard is copied to the "Innings scorecards" sheet</t>
  </si>
  <si>
    <t>At the end of the game you can export the sheet to another spreadsheet - for historical purposes, you see</t>
  </si>
  <si>
    <t>You can't change the batting order after the start</t>
  </si>
  <si>
    <t>Instructions</t>
  </si>
  <si>
    <t>It's a test match, so it's very slow! Too many clicks on the Bowl button, really</t>
  </si>
  <si>
    <t>letters are the bowler rating vs batter rating</t>
  </si>
  <si>
    <t>AA is bowler and batter same rating</t>
  </si>
  <si>
    <t>generate a random number 0-100, and find it in the list</t>
  </si>
  <si>
    <t xml:space="preserve">eg 90 gives 4 for EA; 2 for DA, CA, BA; 1 for AA, AB, AC, AD; 0 for AE </t>
  </si>
  <si>
    <t>I think I calculated these from some raw data, and my thoughts</t>
  </si>
  <si>
    <t>about match ups</t>
  </si>
  <si>
    <t>World batting</t>
  </si>
  <si>
    <t>JAYASURIYA</t>
  </si>
  <si>
    <t>ENGINEER</t>
  </si>
  <si>
    <r>
      <t xml:space="preserve">Put teams into the </t>
    </r>
    <r>
      <rPr>
        <b/>
        <sz val="11"/>
        <color theme="1"/>
        <rFont val="Calibri"/>
        <family val="2"/>
        <scheme val="minor"/>
      </rPr>
      <t>"Team sheet"</t>
    </r>
    <r>
      <rPr>
        <sz val="11"/>
        <color theme="1"/>
        <rFont val="Calibri"/>
        <family val="2"/>
        <scheme val="minor"/>
      </rPr>
      <t xml:space="preserve"> - tab below</t>
    </r>
  </si>
  <si>
    <r>
      <t>Choose your teams</t>
    </r>
    <r>
      <rPr>
        <sz val="11"/>
        <color theme="1"/>
        <rFont val="Calibri"/>
        <family val="2"/>
        <scheme val="minor"/>
      </rPr>
      <t xml:space="preserve"> (or skip this and go with what's already there)</t>
    </r>
  </si>
  <si>
    <t>Start the match</t>
  </si>
  <si>
    <r>
      <t xml:space="preserve">For the rest, go to the </t>
    </r>
    <r>
      <rPr>
        <b/>
        <sz val="11"/>
        <color theme="1"/>
        <rFont val="Calibri"/>
        <family val="2"/>
        <scheme val="minor"/>
      </rPr>
      <t>"Match sheet"</t>
    </r>
    <r>
      <rPr>
        <sz val="11"/>
        <color theme="1"/>
        <rFont val="Calibri"/>
        <family val="2"/>
        <scheme val="minor"/>
      </rPr>
      <t xml:space="preserve">, and click </t>
    </r>
    <r>
      <rPr>
        <b/>
        <i/>
        <sz val="11"/>
        <color theme="1"/>
        <rFont val="Calibri"/>
        <family val="2"/>
        <scheme val="minor"/>
      </rPr>
      <t>Start match</t>
    </r>
  </si>
  <si>
    <r>
      <t xml:space="preserve">It all just happens from the </t>
    </r>
    <r>
      <rPr>
        <b/>
        <i/>
        <sz val="11"/>
        <color theme="1"/>
        <rFont val="Calibri"/>
        <family val="2"/>
        <scheme val="minor"/>
      </rPr>
      <t>Bowl</t>
    </r>
    <r>
      <rPr>
        <sz val="11"/>
        <color theme="1"/>
        <rFont val="Calibri"/>
        <family val="2"/>
        <scheme val="minor"/>
      </rPr>
      <t xml:space="preserve"> button - you can change bowlers at the end of the over.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</si>
</sst>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0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rgb="FFFFFF00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rgb="FFFFFF00"/>
      <name val="Calibri"/>
      <family val="2"/>
      <scheme val="minor"/>
    </font>
    <font>
      <sz val="28"/>
      <color rgb="FFFFFF00"/>
      <name val="Calibri"/>
      <family val="2"/>
      <scheme val="minor"/>
    </font>
    <font>
      <sz val="16"/>
      <color rgb="FFFFFF00"/>
      <name val="Wingdings"/>
      <charset val="2"/>
    </font>
    <font>
      <sz val="22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6"/>
      <color rgb="FF000000"/>
      <name val="Wingdings"/>
      <charset val="2"/>
    </font>
    <font>
      <sz val="14"/>
      <color rgb="FFFFFF00"/>
      <name val="Calibri"/>
      <family val="2"/>
      <scheme val="minor"/>
    </font>
    <font>
      <sz val="48"/>
      <color rgb="FFFFFF0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24"/>
      <color rgb="FFFFFF00"/>
      <name val="Calibri"/>
      <family val="2"/>
      <scheme val="minor"/>
    </font>
    <font>
      <sz val="16"/>
      <color rgb="FF00000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vertical="center"/>
    </xf>
    <xf numFmtId="0" fontId="1" fillId="0" borderId="0" xfId="0" applyFont="1" applyAlignme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Fill="1"/>
    <xf numFmtId="0" fontId="4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4" fillId="2" borderId="0" xfId="0" applyFont="1" applyFill="1" applyBorder="1"/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/>
    <xf numFmtId="0" fontId="12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vertical="center"/>
    </xf>
    <xf numFmtId="0" fontId="0" fillId="2" borderId="0" xfId="0" applyFill="1" applyBorder="1"/>
    <xf numFmtId="0" fontId="5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right" vertical="center"/>
    </xf>
    <xf numFmtId="0" fontId="9" fillId="2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vertical="center"/>
    </xf>
    <xf numFmtId="0" fontId="0" fillId="3" borderId="0" xfId="0" applyFill="1"/>
    <xf numFmtId="0" fontId="0" fillId="4" borderId="0" xfId="0" applyFill="1" applyAlignment="1">
      <alignment horizontal="center" vertical="center"/>
    </xf>
    <xf numFmtId="0" fontId="0" fillId="4" borderId="0" xfId="0" applyFill="1"/>
    <xf numFmtId="0" fontId="3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vertical="center"/>
    </xf>
    <xf numFmtId="164" fontId="3" fillId="4" borderId="0" xfId="0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5" fillId="0" borderId="0" xfId="0" applyFont="1" applyBorder="1"/>
    <xf numFmtId="0" fontId="15" fillId="4" borderId="0" xfId="0" applyFont="1" applyFill="1" applyBorder="1"/>
    <xf numFmtId="0" fontId="16" fillId="4" borderId="0" xfId="0" applyFont="1" applyFill="1" applyAlignment="1">
      <alignment horizontal="center" vertical="center"/>
    </xf>
    <xf numFmtId="0" fontId="15" fillId="4" borderId="0" xfId="0" applyFont="1" applyFill="1" applyBorder="1" applyAlignment="1">
      <alignment vertical="center"/>
    </xf>
    <xf numFmtId="0" fontId="6" fillId="4" borderId="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right"/>
    </xf>
    <xf numFmtId="0" fontId="17" fillId="4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left"/>
    </xf>
    <xf numFmtId="164" fontId="3" fillId="4" borderId="0" xfId="0" applyNumberFormat="1" applyFont="1" applyFill="1"/>
    <xf numFmtId="0" fontId="2" fillId="4" borderId="0" xfId="0" applyFont="1" applyFill="1" applyBorder="1" applyAlignment="1">
      <alignment horizontal="left" vertical="center"/>
    </xf>
    <xf numFmtId="0" fontId="3" fillId="4" borderId="0" xfId="0" applyFont="1" applyFill="1"/>
    <xf numFmtId="164" fontId="5" fillId="2" borderId="0" xfId="0" applyNumberFormat="1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Border="1" applyAlignment="1">
      <alignment horizontal="right" vertical="center"/>
    </xf>
    <xf numFmtId="0" fontId="0" fillId="0" borderId="0" xfId="0" applyAlignment="1">
      <alignment wrapText="1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0" fillId="3" borderId="0" xfId="0" applyFill="1" applyAlignment="1">
      <alignment wrapText="1"/>
    </xf>
    <xf numFmtId="0" fontId="6" fillId="2" borderId="0" xfId="0" applyFont="1" applyFill="1" applyBorder="1" applyAlignment="1">
      <alignment horizontal="left"/>
    </xf>
    <xf numFmtId="0" fontId="9" fillId="2" borderId="0" xfId="0" applyFont="1" applyFill="1" applyAlignment="1">
      <alignment horizontal="left" vertical="center"/>
    </xf>
    <xf numFmtId="0" fontId="22" fillId="4" borderId="0" xfId="0" applyFont="1" applyFill="1" applyAlignment="1">
      <alignment horizontal="center" vertical="center"/>
    </xf>
    <xf numFmtId="0" fontId="22" fillId="4" borderId="0" xfId="0" applyFont="1" applyFill="1"/>
    <xf numFmtId="164" fontId="22" fillId="4" borderId="0" xfId="0" applyNumberFormat="1" applyFont="1" applyFill="1"/>
    <xf numFmtId="0" fontId="22" fillId="4" borderId="0" xfId="0" applyFont="1" applyFill="1" applyBorder="1"/>
    <xf numFmtId="0" fontId="3" fillId="2" borderId="0" xfId="0" applyFont="1" applyFill="1" applyBorder="1"/>
    <xf numFmtId="0" fontId="0" fillId="0" borderId="0" xfId="0" applyBorder="1"/>
    <xf numFmtId="0" fontId="23" fillId="2" borderId="13" xfId="0" applyFont="1" applyFill="1" applyBorder="1" applyAlignment="1">
      <alignment horizontal="center"/>
    </xf>
    <xf numFmtId="0" fontId="3" fillId="2" borderId="16" xfId="0" applyFont="1" applyFill="1" applyBorder="1"/>
    <xf numFmtId="0" fontId="0" fillId="2" borderId="15" xfId="0" applyFill="1" applyBorder="1"/>
    <xf numFmtId="0" fontId="4" fillId="2" borderId="15" xfId="0" applyFont="1" applyFill="1" applyBorder="1"/>
    <xf numFmtId="0" fontId="15" fillId="3" borderId="0" xfId="0" applyFont="1" applyFill="1" applyBorder="1"/>
    <xf numFmtId="0" fontId="3" fillId="4" borderId="0" xfId="0" applyFont="1" applyFill="1" applyAlignment="1">
      <alignment horizontal="center" vertical="center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 vertical="center"/>
    </xf>
    <xf numFmtId="0" fontId="24" fillId="2" borderId="0" xfId="0" applyFont="1" applyFill="1" applyBorder="1"/>
    <xf numFmtId="0" fontId="0" fillId="0" borderId="0" xfId="0" applyFill="1" applyBorder="1"/>
    <xf numFmtId="0" fontId="3" fillId="4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20" fillId="4" borderId="1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/>
    <xf numFmtId="0" fontId="5" fillId="2" borderId="0" xfId="0" applyFont="1" applyFill="1" applyBorder="1" applyAlignment="1">
      <alignment horizontal="center" vertical="center"/>
    </xf>
    <xf numFmtId="0" fontId="5" fillId="2" borderId="16" xfId="0" applyFont="1" applyFill="1" applyBorder="1" applyAlignment="1"/>
    <xf numFmtId="0" fontId="5" fillId="2" borderId="1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left"/>
    </xf>
    <xf numFmtId="0" fontId="21" fillId="2" borderId="13" xfId="0" applyFont="1" applyFill="1" applyBorder="1" applyAlignment="1">
      <alignment horizontal="center" vertical="center"/>
    </xf>
    <xf numFmtId="0" fontId="21" fillId="2" borderId="13" xfId="0" applyFont="1" applyFill="1" applyBorder="1" applyAlignment="1">
      <alignment vertical="center"/>
    </xf>
    <xf numFmtId="0" fontId="21" fillId="2" borderId="14" xfId="0" applyFont="1" applyFill="1" applyBorder="1" applyAlignment="1">
      <alignment vertical="center"/>
    </xf>
    <xf numFmtId="0" fontId="21" fillId="2" borderId="12" xfId="0" applyFont="1" applyFill="1" applyBorder="1" applyAlignment="1">
      <alignment vertical="center"/>
    </xf>
    <xf numFmtId="0" fontId="26" fillId="2" borderId="0" xfId="0" applyFont="1" applyFill="1" applyBorder="1"/>
    <xf numFmtId="0" fontId="3" fillId="2" borderId="18" xfId="0" applyFont="1" applyFill="1" applyBorder="1" applyAlignment="1">
      <alignment horizontal="right"/>
    </xf>
    <xf numFmtId="0" fontId="0" fillId="0" borderId="0" xfId="0" applyFont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5" borderId="0" xfId="0" applyFont="1" applyFill="1"/>
    <xf numFmtId="0" fontId="0" fillId="0" borderId="0" xfId="0" applyAlignment="1">
      <alignment horizontal="right"/>
    </xf>
    <xf numFmtId="0" fontId="1" fillId="0" borderId="0" xfId="0" applyFont="1" applyFill="1"/>
    <xf numFmtId="0" fontId="1" fillId="0" borderId="0" xfId="0" applyFont="1" applyFill="1" applyAlignment="1">
      <alignment horizontal="center" wrapText="1"/>
    </xf>
    <xf numFmtId="0" fontId="28" fillId="0" borderId="0" xfId="0" applyFont="1"/>
    <xf numFmtId="0" fontId="2" fillId="6" borderId="23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/>
    </xf>
    <xf numFmtId="0" fontId="2" fillId="7" borderId="24" xfId="0" applyFont="1" applyFill="1" applyBorder="1" applyAlignment="1">
      <alignment horizontal="center" vertical="center"/>
    </xf>
    <xf numFmtId="0" fontId="2" fillId="7" borderId="25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/>
    </xf>
    <xf numFmtId="0" fontId="9" fillId="4" borderId="20" xfId="0" applyFont="1" applyFill="1" applyBorder="1" applyAlignment="1">
      <alignment horizontal="center" vertical="center" wrapText="1"/>
    </xf>
    <xf numFmtId="0" fontId="9" fillId="4" borderId="21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25" fillId="4" borderId="20" xfId="0" applyFont="1" applyFill="1" applyBorder="1" applyAlignment="1">
      <alignment horizontal="center" vertical="center" wrapText="1"/>
    </xf>
    <xf numFmtId="0" fontId="25" fillId="4" borderId="21" xfId="0" applyFont="1" applyFill="1" applyBorder="1" applyAlignment="1">
      <alignment horizontal="center" vertical="center" wrapText="1"/>
    </xf>
    <xf numFmtId="0" fontId="25" fillId="4" borderId="22" xfId="0" applyFont="1" applyFill="1" applyBorder="1" applyAlignment="1">
      <alignment horizontal="center" vertical="center" wrapText="1"/>
    </xf>
    <xf numFmtId="0" fontId="19" fillId="2" borderId="15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9" fillId="2" borderId="16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335280</xdr:colOff>
          <xdr:row>7</xdr:row>
          <xdr:rowOff>22860</xdr:rowOff>
        </xdr:from>
        <xdr:to>
          <xdr:col>3</xdr:col>
          <xdr:colOff>0</xdr:colOff>
          <xdr:row>8</xdr:row>
          <xdr:rowOff>205740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381000</xdr:rowOff>
        </xdr:from>
        <xdr:to>
          <xdr:col>3</xdr:col>
          <xdr:colOff>15240</xdr:colOff>
          <xdr:row>6</xdr:row>
          <xdr:rowOff>106680</xdr:rowOff>
        </xdr:to>
        <xdr:sp macro="" textlink="">
          <xdr:nvSpPr>
            <xdr:cNvPr id="1028" name="cmdBowl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9</xdr:row>
          <xdr:rowOff>38100</xdr:rowOff>
        </xdr:from>
        <xdr:to>
          <xdr:col>2</xdr:col>
          <xdr:colOff>83820</xdr:colOff>
          <xdr:row>11</xdr:row>
          <xdr:rowOff>190500</xdr:rowOff>
        </xdr:to>
        <xdr:sp macro="" textlink="">
          <xdr:nvSpPr>
            <xdr:cNvPr id="1029" name="cmdRese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E6D09-E2FF-4928-A7C6-A5B715F3D454}">
  <sheetPr codeName="Sheet5"/>
  <dimension ref="B1:B18"/>
  <sheetViews>
    <sheetView tabSelected="1" workbookViewId="0">
      <selection activeCell="B28" sqref="B28"/>
    </sheetView>
  </sheetViews>
  <sheetFormatPr defaultRowHeight="14.4" x14ac:dyDescent="0.3"/>
  <cols>
    <col min="2" max="2" width="95.77734375" bestFit="1" customWidth="1"/>
  </cols>
  <sheetData>
    <row r="1" spans="2:2" x14ac:dyDescent="0.3">
      <c r="B1" s="98" t="s">
        <v>145</v>
      </c>
    </row>
    <row r="2" spans="2:2" x14ac:dyDescent="0.3">
      <c r="B2" s="98" t="s">
        <v>157</v>
      </c>
    </row>
    <row r="3" spans="2:2" x14ac:dyDescent="0.3">
      <c r="B3" t="s">
        <v>156</v>
      </c>
    </row>
    <row r="4" spans="2:2" x14ac:dyDescent="0.3">
      <c r="B4" t="s">
        <v>140</v>
      </c>
    </row>
    <row r="5" spans="2:2" x14ac:dyDescent="0.3">
      <c r="B5" t="s">
        <v>138</v>
      </c>
    </row>
    <row r="6" spans="2:2" x14ac:dyDescent="0.3">
      <c r="B6" t="s">
        <v>139</v>
      </c>
    </row>
    <row r="7" spans="2:2" x14ac:dyDescent="0.3">
      <c r="B7" t="s">
        <v>141</v>
      </c>
    </row>
    <row r="9" spans="2:2" x14ac:dyDescent="0.3">
      <c r="B9" s="98" t="s">
        <v>158</v>
      </c>
    </row>
    <row r="10" spans="2:2" x14ac:dyDescent="0.3">
      <c r="B10" t="s">
        <v>159</v>
      </c>
    </row>
    <row r="11" spans="2:2" x14ac:dyDescent="0.3">
      <c r="B11" t="s">
        <v>160</v>
      </c>
    </row>
    <row r="12" spans="2:2" x14ac:dyDescent="0.3">
      <c r="B12" t="s">
        <v>144</v>
      </c>
    </row>
    <row r="14" spans="2:2" x14ac:dyDescent="0.3">
      <c r="B14" t="s">
        <v>142</v>
      </c>
    </row>
    <row r="15" spans="2:2" x14ac:dyDescent="0.3">
      <c r="B15" t="s">
        <v>143</v>
      </c>
    </row>
    <row r="18" spans="2:2" x14ac:dyDescent="0.3">
      <c r="B18" s="105" t="s">
        <v>146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373C-5220-4367-B440-D5E8B30641DC}">
  <sheetPr codeName="Sheet12"/>
  <dimension ref="A1:AL15"/>
  <sheetViews>
    <sheetView workbookViewId="0">
      <selection activeCell="B3" sqref="B3"/>
    </sheetView>
  </sheetViews>
  <sheetFormatPr defaultRowHeight="14.4" x14ac:dyDescent="0.3"/>
  <cols>
    <col min="1" max="1" width="11.5546875" style="7" bestFit="1" customWidth="1"/>
    <col min="2" max="2" width="11.5546875" style="7" customWidth="1"/>
    <col min="3" max="4" width="7.21875" style="7" customWidth="1"/>
    <col min="5" max="5" width="8.88671875" style="7"/>
    <col min="6" max="6" width="11.5546875" style="7" bestFit="1" customWidth="1"/>
    <col min="7" max="7" width="11.5546875" style="7" customWidth="1"/>
    <col min="8" max="9" width="7.21875" style="7" customWidth="1"/>
    <col min="10" max="12" width="8.88671875" style="7"/>
    <col min="13" max="23" width="4" style="7" customWidth="1"/>
    <col min="24" max="35" width="4.109375" style="7" customWidth="1"/>
    <col min="36" max="48" width="4.33203125" style="7" customWidth="1"/>
    <col min="49" max="16384" width="8.88671875" style="7"/>
  </cols>
  <sheetData>
    <row r="1" spans="1:38" s="73" customFormat="1" ht="25.8" customHeight="1" thickBot="1" x14ac:dyDescent="0.35">
      <c r="A1" s="73" t="s">
        <v>90</v>
      </c>
      <c r="B1" s="106" t="s">
        <v>111</v>
      </c>
      <c r="C1" s="107"/>
      <c r="D1" s="108"/>
      <c r="F1" s="73" t="s">
        <v>90</v>
      </c>
      <c r="G1" s="109" t="s">
        <v>112</v>
      </c>
      <c r="H1" s="110"/>
      <c r="I1" s="111"/>
    </row>
    <row r="2" spans="1:38" s="103" customFormat="1" ht="58.2" thickBot="1" x14ac:dyDescent="0.35">
      <c r="B2" s="103" t="s">
        <v>91</v>
      </c>
      <c r="C2" s="104" t="s">
        <v>95</v>
      </c>
      <c r="D2" s="104" t="s">
        <v>94</v>
      </c>
      <c r="G2" s="103" t="s">
        <v>91</v>
      </c>
      <c r="H2" s="104" t="s">
        <v>95</v>
      </c>
      <c r="I2" s="104" t="s">
        <v>94</v>
      </c>
    </row>
    <row r="3" spans="1:38" x14ac:dyDescent="0.3">
      <c r="A3" s="7">
        <v>1</v>
      </c>
      <c r="B3" s="74" t="s">
        <v>18</v>
      </c>
      <c r="C3" s="75">
        <v>4</v>
      </c>
      <c r="D3" s="76">
        <v>2</v>
      </c>
      <c r="F3" s="7">
        <v>1</v>
      </c>
      <c r="G3" s="74" t="s">
        <v>12</v>
      </c>
      <c r="H3" s="75">
        <v>4</v>
      </c>
      <c r="I3" s="76">
        <v>2</v>
      </c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3">
      <c r="A4" s="7">
        <v>2</v>
      </c>
      <c r="B4" s="77" t="s">
        <v>101</v>
      </c>
      <c r="C4" s="71">
        <v>4</v>
      </c>
      <c r="D4" s="78">
        <v>1</v>
      </c>
      <c r="F4" s="7">
        <v>2</v>
      </c>
      <c r="G4" s="77" t="s">
        <v>96</v>
      </c>
      <c r="H4" s="71">
        <v>4</v>
      </c>
      <c r="I4" s="78">
        <v>1</v>
      </c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3">
      <c r="A5" s="7">
        <v>3</v>
      </c>
      <c r="B5" s="77" t="s">
        <v>102</v>
      </c>
      <c r="C5" s="71">
        <v>5</v>
      </c>
      <c r="D5" s="78">
        <v>1</v>
      </c>
      <c r="F5" s="7">
        <v>3</v>
      </c>
      <c r="G5" s="77" t="s">
        <v>97</v>
      </c>
      <c r="H5" s="71">
        <v>5</v>
      </c>
      <c r="I5" s="78">
        <v>1</v>
      </c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3">
      <c r="A6" s="7">
        <v>4</v>
      </c>
      <c r="B6" s="77" t="s">
        <v>103</v>
      </c>
      <c r="C6" s="71">
        <v>3</v>
      </c>
      <c r="D6" s="78">
        <v>1</v>
      </c>
      <c r="F6" s="7">
        <v>4</v>
      </c>
      <c r="G6" s="77" t="s">
        <v>13</v>
      </c>
      <c r="H6" s="71">
        <v>3</v>
      </c>
      <c r="I6" s="78">
        <v>1</v>
      </c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3">
      <c r="A7" s="7">
        <v>5</v>
      </c>
      <c r="B7" s="77" t="s">
        <v>17</v>
      </c>
      <c r="C7" s="71">
        <v>3</v>
      </c>
      <c r="D7" s="78">
        <v>1</v>
      </c>
      <c r="F7" s="7">
        <v>5</v>
      </c>
      <c r="G7" s="77" t="s">
        <v>98</v>
      </c>
      <c r="H7" s="71">
        <v>3</v>
      </c>
      <c r="I7" s="78">
        <v>4</v>
      </c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3">
      <c r="A8" s="7">
        <v>6</v>
      </c>
      <c r="B8" s="77" t="s">
        <v>104</v>
      </c>
      <c r="C8" s="71">
        <v>2</v>
      </c>
      <c r="D8" s="78">
        <v>3</v>
      </c>
      <c r="F8" s="7">
        <v>6</v>
      </c>
      <c r="G8" s="77" t="s">
        <v>99</v>
      </c>
      <c r="H8" s="71">
        <v>2</v>
      </c>
      <c r="I8" s="78">
        <v>3</v>
      </c>
    </row>
    <row r="9" spans="1:38" x14ac:dyDescent="0.3">
      <c r="A9" s="7">
        <v>7</v>
      </c>
      <c r="B9" s="77" t="s">
        <v>105</v>
      </c>
      <c r="C9" s="71">
        <v>3</v>
      </c>
      <c r="D9" s="78">
        <v>1</v>
      </c>
      <c r="F9" s="7">
        <v>7</v>
      </c>
      <c r="G9" s="77" t="s">
        <v>100</v>
      </c>
      <c r="H9" s="71">
        <v>3</v>
      </c>
      <c r="I9" s="78">
        <v>1</v>
      </c>
    </row>
    <row r="10" spans="1:38" x14ac:dyDescent="0.3">
      <c r="A10" s="7">
        <v>8</v>
      </c>
      <c r="B10" s="77" t="s">
        <v>106</v>
      </c>
      <c r="C10" s="71">
        <v>3</v>
      </c>
      <c r="D10" s="78" t="s">
        <v>27</v>
      </c>
      <c r="F10" s="7">
        <v>8</v>
      </c>
      <c r="G10" s="77" t="s">
        <v>14</v>
      </c>
      <c r="H10" s="71">
        <v>3</v>
      </c>
      <c r="I10" s="78" t="s">
        <v>27</v>
      </c>
      <c r="AA10"/>
    </row>
    <row r="11" spans="1:38" x14ac:dyDescent="0.3">
      <c r="A11" s="7">
        <v>9</v>
      </c>
      <c r="B11" s="77" t="s">
        <v>107</v>
      </c>
      <c r="C11" s="71">
        <v>1</v>
      </c>
      <c r="D11" s="78">
        <v>4</v>
      </c>
      <c r="F11" s="7">
        <v>9</v>
      </c>
      <c r="G11" s="77" t="s">
        <v>16</v>
      </c>
      <c r="H11" s="71">
        <v>1</v>
      </c>
      <c r="I11" s="78">
        <v>5</v>
      </c>
    </row>
    <row r="12" spans="1:38" x14ac:dyDescent="0.3">
      <c r="A12" s="7">
        <v>10</v>
      </c>
      <c r="B12" s="77" t="s">
        <v>108</v>
      </c>
      <c r="C12" s="71">
        <v>1</v>
      </c>
      <c r="D12" s="78">
        <v>4</v>
      </c>
      <c r="F12" s="7">
        <v>10</v>
      </c>
      <c r="G12" s="77" t="s">
        <v>15</v>
      </c>
      <c r="H12" s="71">
        <v>1</v>
      </c>
      <c r="I12" s="78">
        <v>3</v>
      </c>
    </row>
    <row r="13" spans="1:38" ht="15" thickBot="1" x14ac:dyDescent="0.35">
      <c r="A13" s="7">
        <v>11</v>
      </c>
      <c r="B13" s="79" t="s">
        <v>109</v>
      </c>
      <c r="C13" s="80">
        <v>1</v>
      </c>
      <c r="D13" s="81">
        <v>5</v>
      </c>
      <c r="F13" s="7">
        <v>11</v>
      </c>
      <c r="G13" s="79" t="s">
        <v>125</v>
      </c>
      <c r="H13" s="80">
        <v>1</v>
      </c>
      <c r="I13" s="81">
        <v>3</v>
      </c>
    </row>
    <row r="14" spans="1:38" x14ac:dyDescent="0.3">
      <c r="B14" s="7" t="s">
        <v>92</v>
      </c>
      <c r="C14" s="7">
        <f>SUM(C3:C13)</f>
        <v>30</v>
      </c>
      <c r="D14" s="7">
        <f>SUM(D3:D13)</f>
        <v>23</v>
      </c>
      <c r="G14" s="7" t="s">
        <v>92</v>
      </c>
      <c r="H14" s="7">
        <f>SUM(H3:H13)</f>
        <v>30</v>
      </c>
      <c r="I14" s="7">
        <f>SUM(I3:I13)</f>
        <v>24</v>
      </c>
    </row>
    <row r="15" spans="1:38" x14ac:dyDescent="0.3">
      <c r="C15" s="7" t="s">
        <v>93</v>
      </c>
      <c r="D15" s="7" t="s">
        <v>110</v>
      </c>
      <c r="G15" s="7" t="s">
        <v>93</v>
      </c>
      <c r="H15" s="7" t="s">
        <v>93</v>
      </c>
      <c r="I15" s="7" t="s">
        <v>110</v>
      </c>
    </row>
  </sheetData>
  <mergeCells count="2">
    <mergeCell ref="B1:D1"/>
    <mergeCell ref="G1:I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A04E8-4519-4949-8589-055E598CC533}">
  <sheetPr codeName="Sheet1"/>
  <dimension ref="A1:AE74"/>
  <sheetViews>
    <sheetView showGridLines="0" zoomScale="85" zoomScaleNormal="85" workbookViewId="0">
      <selection activeCell="M18" sqref="M18:O28"/>
    </sheetView>
  </sheetViews>
  <sheetFormatPr defaultRowHeight="14.4" x14ac:dyDescent="0.3"/>
  <cols>
    <col min="1" max="1" width="5.21875" style="1" customWidth="1"/>
    <col min="2" max="2" width="11.5546875" customWidth="1"/>
    <col min="3" max="3" width="5.6640625" customWidth="1"/>
    <col min="4" max="4" width="5.44140625" customWidth="1"/>
    <col min="5" max="5" width="23.21875" customWidth="1"/>
    <col min="6" max="11" width="7.77734375" customWidth="1"/>
    <col min="13" max="13" width="13.33203125" bestFit="1" customWidth="1"/>
    <col min="14" max="19" width="7.6640625" customWidth="1"/>
    <col min="20" max="20" width="6.5546875" customWidth="1"/>
    <col min="21" max="21" width="6.5546875" style="33" customWidth="1"/>
    <col min="22" max="30" width="6.5546875" customWidth="1"/>
  </cols>
  <sheetData>
    <row r="1" spans="1:31" ht="25.2" customHeight="1" thickBot="1" x14ac:dyDescent="0.35">
      <c r="A1" s="5"/>
    </row>
    <row r="2" spans="1:31" ht="35.4" customHeight="1" x14ac:dyDescent="0.6">
      <c r="C2" s="7"/>
      <c r="D2" s="8"/>
      <c r="E2" s="15"/>
      <c r="F2" s="112" t="s">
        <v>154</v>
      </c>
      <c r="G2" s="112"/>
      <c r="H2" s="112"/>
      <c r="I2" s="10"/>
      <c r="J2" s="113">
        <f>F29</f>
        <v>0</v>
      </c>
      <c r="K2" s="113"/>
      <c r="L2" s="113"/>
      <c r="M2" s="10"/>
      <c r="N2" s="112" t="s">
        <v>155</v>
      </c>
      <c r="O2" s="112"/>
      <c r="P2" s="112"/>
      <c r="Q2" s="6"/>
      <c r="R2" s="6"/>
      <c r="S2" s="10"/>
      <c r="T2" s="94"/>
      <c r="U2" s="92"/>
      <c r="V2" s="91" t="s">
        <v>111</v>
      </c>
      <c r="W2" s="92"/>
      <c r="X2" s="92"/>
      <c r="Y2" s="61" t="s">
        <v>52</v>
      </c>
      <c r="Z2" s="92"/>
      <c r="AA2" s="92"/>
      <c r="AB2" s="91" t="s">
        <v>112</v>
      </c>
      <c r="AC2" s="92"/>
      <c r="AD2" s="93"/>
      <c r="AE2" s="60"/>
    </row>
    <row r="3" spans="1:31" ht="31.8" customHeight="1" x14ac:dyDescent="0.4">
      <c r="C3" s="7"/>
      <c r="D3" s="8"/>
      <c r="E3" s="10"/>
      <c r="F3" s="23" t="s">
        <v>29</v>
      </c>
      <c r="G3" s="18">
        <f>VLOOKUP(PROPER(F2),B18:F28,5, FALSE)</f>
        <v>0</v>
      </c>
      <c r="H3" s="18"/>
      <c r="I3" s="95"/>
      <c r="J3" s="10"/>
      <c r="K3" s="11" t="s">
        <v>28</v>
      </c>
      <c r="L3" s="10"/>
      <c r="M3" s="10"/>
      <c r="N3" s="45" t="s">
        <v>29</v>
      </c>
      <c r="O3" s="18">
        <f>VLOOKUP(N2,B18:F28,5, FALSE)</f>
        <v>0</v>
      </c>
      <c r="P3" s="6"/>
      <c r="Q3" s="6"/>
      <c r="R3" s="18"/>
      <c r="S3" s="10"/>
      <c r="T3" s="114" t="s">
        <v>153</v>
      </c>
      <c r="U3" s="115"/>
      <c r="V3" s="115"/>
      <c r="W3" s="115"/>
      <c r="X3" s="115"/>
      <c r="Y3" s="115"/>
      <c r="Z3" s="115"/>
      <c r="AA3" s="115"/>
      <c r="AB3" s="115"/>
      <c r="AC3" s="115"/>
      <c r="AD3" s="116"/>
    </row>
    <row r="4" spans="1:31" ht="31.8" customHeight="1" x14ac:dyDescent="0.7">
      <c r="C4" s="7"/>
      <c r="D4" s="8"/>
      <c r="E4" s="10" t="str">
        <f>B36</f>
        <v>Bowler</v>
      </c>
      <c r="F4" s="10" t="str">
        <f>C36</f>
        <v>Hat check</v>
      </c>
      <c r="G4" s="10"/>
      <c r="H4" s="10"/>
      <c r="I4" s="10"/>
      <c r="J4" s="10"/>
      <c r="K4" s="13">
        <f>SUM(S18:S28)</f>
        <v>0</v>
      </c>
      <c r="L4" s="10"/>
      <c r="M4" s="10"/>
      <c r="N4" s="10"/>
      <c r="O4" s="10"/>
      <c r="P4" s="10"/>
      <c r="Q4" s="10"/>
      <c r="R4" s="10"/>
      <c r="S4" s="10"/>
      <c r="T4" s="63"/>
      <c r="U4" s="59"/>
      <c r="V4" s="59"/>
      <c r="W4" s="59"/>
      <c r="X4" s="59"/>
      <c r="Y4" s="11" t="s">
        <v>51</v>
      </c>
      <c r="Z4" s="59"/>
      <c r="AA4" s="59"/>
      <c r="AB4" s="59"/>
      <c r="AC4" s="59"/>
      <c r="AD4" s="62"/>
    </row>
    <row r="5" spans="1:31" ht="31.8" customHeight="1" x14ac:dyDescent="0.4">
      <c r="C5" s="7"/>
      <c r="D5" s="7"/>
      <c r="E5" s="15"/>
      <c r="F5" s="12"/>
      <c r="G5" s="11"/>
      <c r="H5" s="11"/>
      <c r="I5" s="10"/>
      <c r="J5" s="14" t="s">
        <v>8</v>
      </c>
      <c r="K5" s="44">
        <f>P29</f>
        <v>0</v>
      </c>
      <c r="L5" s="15"/>
      <c r="M5" s="10"/>
      <c r="N5" s="10"/>
      <c r="O5" s="10"/>
      <c r="P5" s="10"/>
      <c r="Q5" s="10"/>
      <c r="R5" s="10"/>
      <c r="S5" s="10"/>
      <c r="T5" s="126">
        <v>0</v>
      </c>
      <c r="U5" s="127"/>
      <c r="V5" s="87" t="s">
        <v>28</v>
      </c>
      <c r="W5" s="22">
        <v>0</v>
      </c>
      <c r="X5" s="90"/>
      <c r="Y5" s="70"/>
      <c r="Z5" s="127"/>
      <c r="AA5" s="127"/>
      <c r="AB5" s="87"/>
      <c r="AC5" s="22"/>
      <c r="AD5" s="89"/>
    </row>
    <row r="6" spans="1:31" ht="31.8" customHeight="1" x14ac:dyDescent="0.4">
      <c r="C6" s="7"/>
      <c r="D6" s="7"/>
      <c r="E6" s="15"/>
      <c r="F6" s="17" t="s">
        <v>31</v>
      </c>
      <c r="G6" s="22"/>
      <c r="H6" s="17"/>
      <c r="I6" s="15"/>
      <c r="J6" s="22"/>
      <c r="K6" s="22"/>
      <c r="L6" s="19" t="s">
        <v>30</v>
      </c>
      <c r="M6" s="20"/>
      <c r="N6" s="20"/>
      <c r="O6" s="21" t="s">
        <v>10</v>
      </c>
      <c r="P6" s="21" t="s">
        <v>3</v>
      </c>
      <c r="Q6" s="21" t="s">
        <v>9</v>
      </c>
      <c r="R6" s="21" t="s">
        <v>8</v>
      </c>
      <c r="S6" s="6"/>
      <c r="T6" s="64"/>
      <c r="U6" s="59"/>
      <c r="V6" s="59"/>
      <c r="W6" s="59"/>
      <c r="X6" s="59"/>
      <c r="Y6" s="11" t="s">
        <v>53</v>
      </c>
      <c r="Z6" s="59"/>
      <c r="AA6" s="59"/>
      <c r="AB6" s="59"/>
      <c r="AC6" s="59"/>
      <c r="AD6" s="62"/>
    </row>
    <row r="7" spans="1:31" ht="31.8" customHeight="1" x14ac:dyDescent="0.4">
      <c r="C7" s="7"/>
      <c r="D7" s="9"/>
      <c r="E7" s="15"/>
      <c r="F7" s="17" t="s">
        <v>32</v>
      </c>
      <c r="G7" s="16"/>
      <c r="H7" s="17"/>
      <c r="I7" s="15"/>
      <c r="J7" s="17"/>
      <c r="K7" s="15"/>
      <c r="L7" s="24" t="s">
        <v>125</v>
      </c>
      <c r="M7" s="24"/>
      <c r="N7" s="24"/>
      <c r="O7" s="18">
        <f>IF(L7="","",VLOOKUP($L7, $M$18:$U$28, 7,FALSE))</f>
        <v>0</v>
      </c>
      <c r="P7" s="18">
        <f>IF(L7="","",VLOOKUP($L7, $M$18:$U$28, 6,FALSE))</f>
        <v>0</v>
      </c>
      <c r="Q7" s="18">
        <f>IF(L7="","",VLOOKUP($L7, $M$18:$U$28, 5,FALSE))</f>
        <v>0</v>
      </c>
      <c r="R7" s="18">
        <f>IF(L7="","",VLOOKUP($L7, $M$18:$U$28, 4,FALSE))</f>
        <v>0</v>
      </c>
      <c r="S7" s="6"/>
      <c r="T7" s="126"/>
      <c r="U7" s="127"/>
      <c r="V7" s="87"/>
      <c r="W7" s="22"/>
      <c r="X7" s="86"/>
      <c r="Y7" s="70"/>
      <c r="Z7" s="128"/>
      <c r="AA7" s="128"/>
      <c r="AB7" s="85"/>
      <c r="AC7" s="90"/>
      <c r="AD7" s="88"/>
    </row>
    <row r="8" spans="1:31" ht="31.8" customHeight="1" x14ac:dyDescent="0.4">
      <c r="C8" s="7"/>
      <c r="D8" s="9"/>
      <c r="E8" s="15"/>
      <c r="F8" s="17" t="s">
        <v>33</v>
      </c>
      <c r="G8" s="16"/>
      <c r="H8" s="17"/>
      <c r="I8" s="15"/>
      <c r="J8" s="17"/>
      <c r="K8" s="15"/>
      <c r="L8" s="24"/>
      <c r="M8" s="24"/>
      <c r="N8" s="24"/>
      <c r="O8" s="18" t="str">
        <f>IF(L8="","",VLOOKUP($L8, $M$18:$U$28, 7,FALSE))</f>
        <v/>
      </c>
      <c r="P8" s="18" t="str">
        <f>IF(L8="","",VLOOKUP($L8, $M$18:$U$28, 6,FALSE))</f>
        <v/>
      </c>
      <c r="Q8" s="18" t="str">
        <f>IF(L8="","",VLOOKUP($L8, $M$18:$U$28, 5,FALSE))</f>
        <v/>
      </c>
      <c r="R8" s="18" t="str">
        <f>IF(L8="","",VLOOKUP($L8, $M$18:$U$28, 4,FALSE))</f>
        <v/>
      </c>
      <c r="S8" s="6"/>
      <c r="T8" s="64"/>
      <c r="U8" s="59"/>
      <c r="V8" s="59"/>
      <c r="W8" s="59"/>
      <c r="X8" s="59"/>
      <c r="Y8" s="59"/>
      <c r="Z8" s="59"/>
      <c r="AA8" s="59"/>
      <c r="AB8" s="59"/>
      <c r="AC8" s="59"/>
      <c r="AD8" s="62"/>
    </row>
    <row r="9" spans="1:31" ht="37.799999999999997" customHeight="1" x14ac:dyDescent="0.3">
      <c r="C9" s="7"/>
      <c r="D9" s="8"/>
      <c r="E9" s="47" t="s">
        <v>37</v>
      </c>
      <c r="F9" s="22"/>
      <c r="G9" s="22"/>
      <c r="H9" s="22"/>
      <c r="I9" s="22"/>
      <c r="J9" s="22"/>
      <c r="K9" s="22"/>
      <c r="L9" s="16"/>
      <c r="M9" s="47" t="s">
        <v>36</v>
      </c>
      <c r="N9" s="22"/>
      <c r="O9" s="22"/>
      <c r="P9" s="22"/>
      <c r="Q9" s="22"/>
      <c r="R9" s="22"/>
      <c r="S9" s="22"/>
      <c r="T9" s="123"/>
      <c r="U9" s="124"/>
      <c r="V9" s="124"/>
      <c r="W9" s="124"/>
      <c r="X9" s="124"/>
      <c r="Y9" s="124"/>
      <c r="Z9" s="124"/>
      <c r="AA9" s="124"/>
      <c r="AB9" s="124"/>
      <c r="AC9" s="124"/>
      <c r="AD9" s="125"/>
    </row>
    <row r="10" spans="1:31" ht="13.8" customHeight="1" x14ac:dyDescent="0.4">
      <c r="A10" s="5"/>
      <c r="C10" s="7"/>
      <c r="D10" s="8"/>
      <c r="E10" s="38"/>
      <c r="F10" s="40"/>
      <c r="G10" s="40"/>
      <c r="H10" s="40"/>
      <c r="I10" s="40"/>
      <c r="J10" s="40"/>
      <c r="K10" s="40"/>
      <c r="L10" s="10"/>
      <c r="M10" s="38"/>
      <c r="N10" s="40"/>
      <c r="O10" s="40"/>
      <c r="P10" s="40"/>
      <c r="Q10" s="40"/>
      <c r="R10" s="40"/>
      <c r="S10" s="40"/>
      <c r="T10" s="64"/>
      <c r="U10" s="59"/>
      <c r="V10" s="59"/>
      <c r="W10" s="59"/>
      <c r="X10" s="59"/>
      <c r="Y10" s="59"/>
      <c r="Z10" s="59"/>
      <c r="AA10" s="59"/>
      <c r="AB10" s="59"/>
      <c r="AC10" s="59"/>
      <c r="AD10" s="62"/>
    </row>
    <row r="11" spans="1:31" ht="21" x14ac:dyDescent="0.4">
      <c r="A11" s="5"/>
      <c r="B11" s="48"/>
      <c r="C11" s="7"/>
      <c r="D11" s="8"/>
      <c r="E11" s="38"/>
      <c r="F11" s="53">
        <v>1</v>
      </c>
      <c r="G11" s="53">
        <v>2</v>
      </c>
      <c r="H11" s="53">
        <v>3</v>
      </c>
      <c r="I11" s="53">
        <v>4</v>
      </c>
      <c r="J11" s="53">
        <v>5</v>
      </c>
      <c r="K11" s="53">
        <v>6</v>
      </c>
      <c r="L11" s="53">
        <v>7</v>
      </c>
      <c r="M11" s="53">
        <v>8</v>
      </c>
      <c r="N11" s="53">
        <v>9</v>
      </c>
      <c r="O11" s="53">
        <v>10</v>
      </c>
      <c r="P11" s="40"/>
      <c r="Q11" s="40"/>
      <c r="R11" s="40"/>
      <c r="S11" s="40"/>
      <c r="T11" s="64"/>
      <c r="U11" s="59"/>
      <c r="V11" s="59"/>
      <c r="W11" s="59"/>
      <c r="X11" s="59"/>
      <c r="Y11" s="59"/>
      <c r="Z11" s="59"/>
      <c r="AA11" s="59"/>
      <c r="AB11" s="59"/>
      <c r="AC11" s="59"/>
      <c r="AD11" s="62"/>
    </row>
    <row r="12" spans="1:31" ht="24" thickBot="1" x14ac:dyDescent="0.35">
      <c r="E12" s="46" t="s">
        <v>39</v>
      </c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6">
        <v>0</v>
      </c>
      <c r="Q12" s="6"/>
      <c r="R12" s="6"/>
      <c r="S12" s="6"/>
      <c r="T12" s="69"/>
      <c r="U12" s="96" t="s">
        <v>113</v>
      </c>
      <c r="V12" s="67">
        <v>1</v>
      </c>
      <c r="W12" s="67"/>
      <c r="X12" s="67"/>
      <c r="Y12" s="67"/>
      <c r="Z12" s="67"/>
      <c r="AA12" s="67"/>
      <c r="AB12" s="67"/>
      <c r="AC12" s="67"/>
      <c r="AD12" s="68"/>
    </row>
    <row r="13" spans="1:31" s="25" customFormat="1" ht="9.6" customHeight="1" thickBot="1" x14ac:dyDescent="0.35">
      <c r="A13" s="49"/>
      <c r="B13" s="52"/>
      <c r="E13" s="50"/>
      <c r="F13" s="51"/>
      <c r="G13" s="51"/>
      <c r="H13" s="51"/>
      <c r="I13" s="51"/>
      <c r="J13" s="51"/>
      <c r="K13" s="51"/>
      <c r="L13" s="51"/>
      <c r="M13" s="51"/>
      <c r="N13" s="51"/>
      <c r="O13" s="51"/>
      <c r="T13" s="84"/>
      <c r="U13" s="84"/>
      <c r="V13" s="84"/>
      <c r="W13" s="84"/>
      <c r="X13" s="84"/>
      <c r="Y13" s="84"/>
    </row>
    <row r="14" spans="1:31" s="37" customFormat="1" ht="72" customHeight="1" thickBot="1" x14ac:dyDescent="0.35">
      <c r="A14" s="117"/>
      <c r="B14" s="118"/>
      <c r="C14" s="118"/>
      <c r="D14" s="119"/>
      <c r="E14" s="82"/>
      <c r="F14" s="120"/>
      <c r="G14" s="121"/>
      <c r="H14" s="121"/>
      <c r="I14" s="121"/>
      <c r="J14" s="121"/>
      <c r="K14" s="121"/>
      <c r="L14" s="121"/>
      <c r="M14" s="121"/>
      <c r="N14" s="122"/>
      <c r="O14" s="120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2"/>
      <c r="AE14" s="83"/>
    </row>
    <row r="15" spans="1:31" ht="9.6" customHeight="1" x14ac:dyDescent="0.3">
      <c r="A15" s="5"/>
    </row>
    <row r="16" spans="1:31" s="27" customFormat="1" x14ac:dyDescent="0.3">
      <c r="A16" s="26"/>
      <c r="U16" s="34"/>
    </row>
    <row r="17" spans="1:25" s="26" customFormat="1" ht="18.600000000000001" customHeight="1" x14ac:dyDescent="0.3">
      <c r="A17" s="28" t="s">
        <v>35</v>
      </c>
      <c r="B17" s="28" t="s">
        <v>34</v>
      </c>
      <c r="C17" s="29" t="s">
        <v>19</v>
      </c>
      <c r="D17" s="29" t="s">
        <v>20</v>
      </c>
      <c r="E17" s="42" t="s">
        <v>2</v>
      </c>
      <c r="F17" s="29" t="s">
        <v>3</v>
      </c>
      <c r="G17" s="29" t="s">
        <v>4</v>
      </c>
      <c r="H17" s="29" t="s">
        <v>5</v>
      </c>
      <c r="I17" s="29" t="s">
        <v>6</v>
      </c>
      <c r="J17" s="29" t="s">
        <v>7</v>
      </c>
      <c r="K17" s="28"/>
      <c r="L17" s="28" t="s">
        <v>35</v>
      </c>
      <c r="M17" s="28" t="s">
        <v>34</v>
      </c>
      <c r="N17" s="29" t="s">
        <v>19</v>
      </c>
      <c r="O17" s="29" t="s">
        <v>20</v>
      </c>
      <c r="P17" s="29" t="s">
        <v>8</v>
      </c>
      <c r="Q17" s="29" t="s">
        <v>9</v>
      </c>
      <c r="R17" s="29" t="s">
        <v>3</v>
      </c>
      <c r="S17" s="29" t="s">
        <v>10</v>
      </c>
      <c r="T17" s="29" t="s">
        <v>11</v>
      </c>
      <c r="U17" s="35" t="s">
        <v>4</v>
      </c>
      <c r="V17" s="66" t="s">
        <v>136</v>
      </c>
      <c r="Y17" s="66" t="s">
        <v>89</v>
      </c>
    </row>
    <row r="18" spans="1:25" s="32" customFormat="1" ht="18.600000000000001" customHeight="1" x14ac:dyDescent="0.3">
      <c r="A18" s="29">
        <v>1</v>
      </c>
      <c r="B18" s="43" t="s">
        <v>18</v>
      </c>
      <c r="C18" s="72">
        <v>4</v>
      </c>
      <c r="D18" s="72">
        <v>2</v>
      </c>
      <c r="E18" s="43" t="s">
        <v>38</v>
      </c>
      <c r="F18" s="30"/>
      <c r="G18" s="30"/>
      <c r="H18" s="30"/>
      <c r="I18" s="30"/>
      <c r="J18" s="31" t="str">
        <f>IF(F18&gt;0,G18/F18*100,"")</f>
        <v/>
      </c>
      <c r="K18" s="30"/>
      <c r="L18" s="29">
        <v>1</v>
      </c>
      <c r="M18" s="43" t="s">
        <v>12</v>
      </c>
      <c r="N18" s="39">
        <v>4</v>
      </c>
      <c r="O18" s="39">
        <v>2</v>
      </c>
      <c r="P18" s="41">
        <f>(MOD(U18,6)*0.1)+INT(U18/6)</f>
        <v>0</v>
      </c>
      <c r="Q18" s="30"/>
      <c r="R18" s="30"/>
      <c r="S18" s="30"/>
      <c r="T18" s="31" t="str">
        <f>IF(R18&gt;0,R18/P18,"")</f>
        <v/>
      </c>
      <c r="U18" s="36"/>
    </row>
    <row r="19" spans="1:25" s="32" customFormat="1" ht="18.600000000000001" customHeight="1" x14ac:dyDescent="0.3">
      <c r="A19" s="29">
        <v>2</v>
      </c>
      <c r="B19" s="43" t="s">
        <v>101</v>
      </c>
      <c r="C19" s="72">
        <v>4</v>
      </c>
      <c r="D19" s="72">
        <v>1</v>
      </c>
      <c r="E19" s="43" t="s">
        <v>38</v>
      </c>
      <c r="F19" s="30"/>
      <c r="G19" s="30"/>
      <c r="H19" s="30"/>
      <c r="I19" s="30"/>
      <c r="J19" s="31" t="str">
        <f t="shared" ref="J19:J28" si="0">IF(F19&gt;0,G19/F19*100,"")</f>
        <v/>
      </c>
      <c r="K19" s="30"/>
      <c r="L19" s="29">
        <v>2</v>
      </c>
      <c r="M19" s="43" t="s">
        <v>96</v>
      </c>
      <c r="N19" s="39">
        <v>4</v>
      </c>
      <c r="O19" s="39">
        <v>1</v>
      </c>
      <c r="P19" s="41">
        <f t="shared" ref="P19:P28" si="1">(MOD(U19,6)*0.1)+INT(U19/6)</f>
        <v>0</v>
      </c>
      <c r="Q19" s="30"/>
      <c r="R19" s="30"/>
      <c r="S19" s="30"/>
      <c r="T19" s="31" t="str">
        <f t="shared" ref="T19:T29" si="2">IF(R19&gt;0,R19/P19,"")</f>
        <v/>
      </c>
      <c r="U19" s="36"/>
    </row>
    <row r="20" spans="1:25" s="32" customFormat="1" ht="18.600000000000001" customHeight="1" x14ac:dyDescent="0.3">
      <c r="A20" s="29">
        <v>3</v>
      </c>
      <c r="B20" s="43" t="s">
        <v>102</v>
      </c>
      <c r="C20" s="72">
        <v>5</v>
      </c>
      <c r="D20" s="72">
        <v>1</v>
      </c>
      <c r="E20" s="43"/>
      <c r="F20" s="30"/>
      <c r="G20" s="30"/>
      <c r="H20" s="30"/>
      <c r="I20" s="30"/>
      <c r="J20" s="31" t="str">
        <f t="shared" si="0"/>
        <v/>
      </c>
      <c r="K20" s="30"/>
      <c r="L20" s="29">
        <v>3</v>
      </c>
      <c r="M20" s="43" t="s">
        <v>97</v>
      </c>
      <c r="N20" s="39">
        <v>5</v>
      </c>
      <c r="O20" s="39">
        <v>1</v>
      </c>
      <c r="P20" s="41">
        <f t="shared" si="1"/>
        <v>0</v>
      </c>
      <c r="Q20" s="30"/>
      <c r="R20" s="30"/>
      <c r="S20" s="30"/>
      <c r="T20" s="31" t="str">
        <f t="shared" si="2"/>
        <v/>
      </c>
      <c r="U20" s="36"/>
    </row>
    <row r="21" spans="1:25" s="32" customFormat="1" ht="18.600000000000001" customHeight="1" x14ac:dyDescent="0.3">
      <c r="A21" s="29">
        <v>4</v>
      </c>
      <c r="B21" s="43" t="s">
        <v>103</v>
      </c>
      <c r="C21" s="72">
        <v>3</v>
      </c>
      <c r="D21" s="72">
        <v>1</v>
      </c>
      <c r="E21" s="43"/>
      <c r="F21" s="30"/>
      <c r="G21" s="30"/>
      <c r="H21" s="30"/>
      <c r="I21" s="30"/>
      <c r="J21" s="31" t="str">
        <f t="shared" si="0"/>
        <v/>
      </c>
      <c r="K21" s="30"/>
      <c r="L21" s="29">
        <v>4</v>
      </c>
      <c r="M21" s="43" t="s">
        <v>13</v>
      </c>
      <c r="N21" s="39">
        <v>3</v>
      </c>
      <c r="O21" s="39">
        <v>1</v>
      </c>
      <c r="P21" s="41">
        <f t="shared" si="1"/>
        <v>0</v>
      </c>
      <c r="Q21" s="30"/>
      <c r="R21" s="30"/>
      <c r="S21" s="30"/>
      <c r="T21" s="31" t="str">
        <f t="shared" si="2"/>
        <v/>
      </c>
      <c r="U21" s="36"/>
    </row>
    <row r="22" spans="1:25" s="32" customFormat="1" ht="18.600000000000001" customHeight="1" x14ac:dyDescent="0.3">
      <c r="A22" s="29">
        <v>5</v>
      </c>
      <c r="B22" s="43" t="s">
        <v>17</v>
      </c>
      <c r="C22" s="72">
        <v>3</v>
      </c>
      <c r="D22" s="72">
        <v>1</v>
      </c>
      <c r="E22" s="43"/>
      <c r="F22" s="30"/>
      <c r="G22" s="30"/>
      <c r="H22" s="30"/>
      <c r="I22" s="30"/>
      <c r="J22" s="31" t="str">
        <f t="shared" si="0"/>
        <v/>
      </c>
      <c r="K22" s="30"/>
      <c r="L22" s="29">
        <v>5</v>
      </c>
      <c r="M22" s="43" t="s">
        <v>98</v>
      </c>
      <c r="N22" s="39">
        <v>3</v>
      </c>
      <c r="O22" s="39">
        <v>4</v>
      </c>
      <c r="P22" s="41">
        <f t="shared" si="1"/>
        <v>0</v>
      </c>
      <c r="Q22" s="30"/>
      <c r="R22" s="30"/>
      <c r="S22" s="30"/>
      <c r="T22" s="31" t="str">
        <f t="shared" si="2"/>
        <v/>
      </c>
      <c r="U22" s="36"/>
    </row>
    <row r="23" spans="1:25" s="32" customFormat="1" ht="18.600000000000001" customHeight="1" x14ac:dyDescent="0.3">
      <c r="A23" s="29">
        <v>6</v>
      </c>
      <c r="B23" s="43" t="s">
        <v>104</v>
      </c>
      <c r="C23" s="72">
        <v>2</v>
      </c>
      <c r="D23" s="72">
        <v>3</v>
      </c>
      <c r="E23" s="43"/>
      <c r="F23" s="30"/>
      <c r="G23" s="30"/>
      <c r="H23" s="30"/>
      <c r="I23" s="30"/>
      <c r="J23" s="31" t="str">
        <f t="shared" si="0"/>
        <v/>
      </c>
      <c r="K23" s="30"/>
      <c r="L23" s="29">
        <v>6</v>
      </c>
      <c r="M23" s="43" t="s">
        <v>99</v>
      </c>
      <c r="N23" s="39">
        <v>2</v>
      </c>
      <c r="O23" s="39">
        <v>3</v>
      </c>
      <c r="P23" s="41">
        <f t="shared" si="1"/>
        <v>0</v>
      </c>
      <c r="Q23" s="30"/>
      <c r="R23" s="30"/>
      <c r="S23" s="30"/>
      <c r="T23" s="31" t="str">
        <f t="shared" si="2"/>
        <v/>
      </c>
      <c r="U23" s="36"/>
    </row>
    <row r="24" spans="1:25" s="32" customFormat="1" ht="18.600000000000001" customHeight="1" x14ac:dyDescent="0.3">
      <c r="A24" s="29">
        <v>7</v>
      </c>
      <c r="B24" s="43" t="s">
        <v>105</v>
      </c>
      <c r="C24" s="72">
        <v>3</v>
      </c>
      <c r="D24" s="72">
        <v>1</v>
      </c>
      <c r="E24" s="43"/>
      <c r="F24" s="30"/>
      <c r="G24" s="30"/>
      <c r="H24" s="30"/>
      <c r="I24" s="30"/>
      <c r="J24" s="31" t="str">
        <f t="shared" si="0"/>
        <v/>
      </c>
      <c r="K24" s="30"/>
      <c r="L24" s="29">
        <v>7</v>
      </c>
      <c r="M24" s="43" t="s">
        <v>100</v>
      </c>
      <c r="N24" s="39">
        <v>3</v>
      </c>
      <c r="O24" s="39">
        <v>1</v>
      </c>
      <c r="P24" s="41">
        <f t="shared" si="1"/>
        <v>0</v>
      </c>
      <c r="Q24" s="30"/>
      <c r="R24" s="30"/>
      <c r="S24" s="30"/>
      <c r="T24" s="31" t="str">
        <f t="shared" si="2"/>
        <v/>
      </c>
      <c r="U24" s="36"/>
    </row>
    <row r="25" spans="1:25" s="32" customFormat="1" ht="18.600000000000001" customHeight="1" x14ac:dyDescent="0.3">
      <c r="A25" s="29">
        <v>8</v>
      </c>
      <c r="B25" s="43" t="s">
        <v>106</v>
      </c>
      <c r="C25" s="72">
        <v>3</v>
      </c>
      <c r="D25" s="72" t="s">
        <v>27</v>
      </c>
      <c r="E25" s="43"/>
      <c r="F25" s="30"/>
      <c r="G25" s="30"/>
      <c r="H25" s="30"/>
      <c r="I25" s="30"/>
      <c r="J25" s="31" t="str">
        <f t="shared" si="0"/>
        <v/>
      </c>
      <c r="K25" s="30"/>
      <c r="L25" s="29">
        <v>8</v>
      </c>
      <c r="M25" s="43" t="s">
        <v>14</v>
      </c>
      <c r="N25" s="39">
        <v>3</v>
      </c>
      <c r="O25" s="39" t="s">
        <v>27</v>
      </c>
      <c r="P25" s="41">
        <f t="shared" si="1"/>
        <v>0</v>
      </c>
      <c r="Q25" s="30"/>
      <c r="R25" s="30"/>
      <c r="S25" s="30"/>
      <c r="T25" s="31" t="str">
        <f t="shared" si="2"/>
        <v/>
      </c>
      <c r="U25" s="36"/>
    </row>
    <row r="26" spans="1:25" s="32" customFormat="1" ht="18.600000000000001" customHeight="1" x14ac:dyDescent="0.3">
      <c r="A26" s="29">
        <v>9</v>
      </c>
      <c r="B26" s="43" t="s">
        <v>107</v>
      </c>
      <c r="C26" s="72">
        <v>1</v>
      </c>
      <c r="D26" s="72">
        <v>4</v>
      </c>
      <c r="E26" s="43"/>
      <c r="F26" s="30"/>
      <c r="G26" s="30"/>
      <c r="H26" s="30"/>
      <c r="I26" s="30"/>
      <c r="J26" s="31" t="str">
        <f t="shared" si="0"/>
        <v/>
      </c>
      <c r="K26" s="30"/>
      <c r="L26" s="29">
        <v>9</v>
      </c>
      <c r="M26" s="43" t="s">
        <v>16</v>
      </c>
      <c r="N26" s="39">
        <v>1</v>
      </c>
      <c r="O26" s="39">
        <v>5</v>
      </c>
      <c r="P26" s="41">
        <f t="shared" si="1"/>
        <v>0</v>
      </c>
      <c r="Q26" s="30"/>
      <c r="R26" s="30"/>
      <c r="S26" s="30"/>
      <c r="T26" s="31" t="str">
        <f t="shared" si="2"/>
        <v/>
      </c>
      <c r="U26" s="36"/>
    </row>
    <row r="27" spans="1:25" s="32" customFormat="1" ht="18.600000000000001" customHeight="1" x14ac:dyDescent="0.3">
      <c r="A27" s="29">
        <v>10</v>
      </c>
      <c r="B27" s="43" t="s">
        <v>108</v>
      </c>
      <c r="C27" s="72">
        <v>1</v>
      </c>
      <c r="D27" s="72">
        <v>4</v>
      </c>
      <c r="E27" s="43"/>
      <c r="F27" s="30"/>
      <c r="G27" s="30"/>
      <c r="H27" s="30"/>
      <c r="I27" s="30"/>
      <c r="J27" s="31" t="str">
        <f t="shared" si="0"/>
        <v/>
      </c>
      <c r="K27" s="30"/>
      <c r="L27" s="29">
        <v>10</v>
      </c>
      <c r="M27" s="43" t="s">
        <v>15</v>
      </c>
      <c r="N27" s="39">
        <v>1</v>
      </c>
      <c r="O27" s="39">
        <v>3</v>
      </c>
      <c r="P27" s="41">
        <f t="shared" si="1"/>
        <v>0</v>
      </c>
      <c r="Q27" s="30"/>
      <c r="R27" s="30"/>
      <c r="S27" s="30"/>
      <c r="T27" s="31" t="str">
        <f t="shared" si="2"/>
        <v/>
      </c>
      <c r="U27" s="36"/>
    </row>
    <row r="28" spans="1:25" s="32" customFormat="1" ht="18.600000000000001" customHeight="1" x14ac:dyDescent="0.3">
      <c r="A28" s="29">
        <v>11</v>
      </c>
      <c r="B28" s="43" t="s">
        <v>109</v>
      </c>
      <c r="C28" s="72">
        <v>1</v>
      </c>
      <c r="D28" s="72">
        <v>5</v>
      </c>
      <c r="E28" s="43"/>
      <c r="F28" s="30"/>
      <c r="G28" s="30"/>
      <c r="H28" s="30"/>
      <c r="I28" s="30"/>
      <c r="J28" s="31" t="str">
        <f t="shared" si="0"/>
        <v/>
      </c>
      <c r="K28" s="30"/>
      <c r="L28" s="29">
        <v>11</v>
      </c>
      <c r="M28" s="43" t="s">
        <v>125</v>
      </c>
      <c r="N28" s="39">
        <v>1</v>
      </c>
      <c r="O28" s="39">
        <v>3</v>
      </c>
      <c r="P28" s="41">
        <f t="shared" si="1"/>
        <v>0</v>
      </c>
      <c r="Q28" s="30"/>
      <c r="R28" s="30"/>
      <c r="S28" s="30"/>
      <c r="T28" s="31" t="str">
        <f t="shared" si="2"/>
        <v/>
      </c>
      <c r="U28" s="36"/>
    </row>
    <row r="29" spans="1:25" s="56" customFormat="1" x14ac:dyDescent="0.3">
      <c r="A29" s="55"/>
      <c r="F29" s="56">
        <f>SUM(F18:F28)</f>
        <v>0</v>
      </c>
      <c r="P29" s="57">
        <f>SUM(P18:P28)</f>
        <v>0</v>
      </c>
      <c r="S29" s="56">
        <f>SUM(S18:S28)</f>
        <v>0</v>
      </c>
      <c r="T29" s="56" t="str">
        <f t="shared" si="2"/>
        <v/>
      </c>
      <c r="U29" s="58"/>
    </row>
    <row r="30" spans="1:25" s="27" customFormat="1" x14ac:dyDescent="0.3">
      <c r="A30" s="26"/>
      <c r="U30" s="34"/>
    </row>
    <row r="31" spans="1:25" s="25" customFormat="1" x14ac:dyDescent="0.3">
      <c r="A31" s="49"/>
      <c r="U31" s="65"/>
    </row>
    <row r="32" spans="1:25" s="25" customFormat="1" x14ac:dyDescent="0.3">
      <c r="A32" s="49"/>
      <c r="U32" s="65"/>
    </row>
    <row r="36" spans="1:21" s="97" customFormat="1" x14ac:dyDescent="0.3">
      <c r="A36" s="100"/>
      <c r="B36" t="s">
        <v>114</v>
      </c>
      <c r="C36" t="s">
        <v>115</v>
      </c>
      <c r="D36"/>
      <c r="G36"/>
      <c r="H36"/>
      <c r="I36"/>
      <c r="U36" s="33"/>
    </row>
    <row r="37" spans="1:21" x14ac:dyDescent="0.3">
      <c r="B37" t="s">
        <v>125</v>
      </c>
    </row>
    <row r="74" spans="2:2" x14ac:dyDescent="0.3">
      <c r="B74" t="s">
        <v>109</v>
      </c>
    </row>
  </sheetData>
  <mergeCells count="12">
    <mergeCell ref="F2:H2"/>
    <mergeCell ref="N2:P2"/>
    <mergeCell ref="J2:L2"/>
    <mergeCell ref="T3:AD3"/>
    <mergeCell ref="A14:D14"/>
    <mergeCell ref="F14:N14"/>
    <mergeCell ref="O14:AD14"/>
    <mergeCell ref="T9:AD9"/>
    <mergeCell ref="T5:U5"/>
    <mergeCell ref="Z5:AA5"/>
    <mergeCell ref="T7:U7"/>
    <mergeCell ref="Z7:AA7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mdReset">
          <controlPr defaultSize="0" autoLine="0" r:id="rId5">
            <anchor moveWithCells="1">
              <from>
                <xdr:col>1</xdr:col>
                <xdr:colOff>266700</xdr:colOff>
                <xdr:row>9</xdr:row>
                <xdr:rowOff>38100</xdr:rowOff>
              </from>
              <to>
                <xdr:col>2</xdr:col>
                <xdr:colOff>83820</xdr:colOff>
                <xdr:row>11</xdr:row>
                <xdr:rowOff>190500</xdr:rowOff>
              </to>
            </anchor>
          </controlPr>
        </control>
      </mc:Choice>
      <mc:Fallback>
        <control shapeId="1029" r:id="rId4" name="cmdReset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335280</xdr:colOff>
                <xdr:row>7</xdr:row>
                <xdr:rowOff>22860</xdr:rowOff>
              </from>
              <to>
                <xdr:col>3</xdr:col>
                <xdr:colOff>0</xdr:colOff>
                <xdr:row>8</xdr:row>
                <xdr:rowOff>205740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8" r:id="rId8" name="cmdBowl">
          <controlPr defaultSize="0" autoLine="0" autoPict="0" r:id="rId9">
            <anchor moveWithCells="1">
              <from>
                <xdr:col>1</xdr:col>
                <xdr:colOff>38100</xdr:colOff>
                <xdr:row>4</xdr:row>
                <xdr:rowOff>381000</xdr:rowOff>
              </from>
              <to>
                <xdr:col>3</xdr:col>
                <xdr:colOff>15240</xdr:colOff>
                <xdr:row>6</xdr:row>
                <xdr:rowOff>106680</xdr:rowOff>
              </to>
            </anchor>
          </controlPr>
        </control>
      </mc:Choice>
      <mc:Fallback>
        <control shapeId="1028" r:id="rId8" name="cmdBow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3EDC5-6A45-4013-91B8-84BFCA14FD43}">
  <sheetPr codeName="Sheet2"/>
  <dimension ref="A1:AF56"/>
  <sheetViews>
    <sheetView workbookViewId="0">
      <selection activeCell="O26" sqref="O26"/>
    </sheetView>
  </sheetViews>
  <sheetFormatPr defaultRowHeight="14.4" x14ac:dyDescent="0.3"/>
  <cols>
    <col min="1" max="1" width="8.88671875" style="2"/>
    <col min="2" max="2" width="73.88671875" style="2" bestFit="1" customWidth="1"/>
    <col min="3" max="3" width="2.44140625" style="2" customWidth="1"/>
    <col min="4" max="4" width="4.6640625" style="2" bestFit="1" customWidth="1"/>
    <col min="5" max="5" width="8.88671875" style="2"/>
    <col min="6" max="6" width="6.77734375" style="2" bestFit="1" customWidth="1"/>
    <col min="7" max="7" width="8.88671875" style="2"/>
    <col min="8" max="8" width="6.6640625" style="2" bestFit="1" customWidth="1"/>
    <col min="9" max="9" width="17" style="2" customWidth="1"/>
    <col min="10" max="19" width="5.33203125" style="2" customWidth="1"/>
    <col min="20" max="16384" width="8.88671875" style="2"/>
  </cols>
  <sheetData>
    <row r="1" spans="1:32" x14ac:dyDescent="0.3">
      <c r="B1" s="4" t="s">
        <v>26</v>
      </c>
      <c r="D1" s="4" t="s">
        <v>23</v>
      </c>
      <c r="E1" s="4"/>
      <c r="F1" s="4" t="s">
        <v>25</v>
      </c>
      <c r="G1" s="4"/>
      <c r="H1" s="4" t="s">
        <v>24</v>
      </c>
      <c r="L1" s="4"/>
    </row>
    <row r="2" spans="1:32" x14ac:dyDescent="0.3">
      <c r="A2" s="2">
        <v>0</v>
      </c>
      <c r="B2" s="3" t="s">
        <v>56</v>
      </c>
      <c r="C2"/>
      <c r="D2" s="1">
        <v>-1</v>
      </c>
      <c r="E2" s="1"/>
      <c r="F2" s="1" t="s">
        <v>0</v>
      </c>
      <c r="G2" s="1"/>
      <c r="H2" s="1">
        <v>1</v>
      </c>
      <c r="I2"/>
      <c r="J2" s="5"/>
      <c r="K2" s="99">
        <v>-1</v>
      </c>
      <c r="L2" s="99">
        <v>0</v>
      </c>
      <c r="M2" s="99">
        <v>1</v>
      </c>
      <c r="N2" s="99">
        <v>2</v>
      </c>
      <c r="O2" s="99">
        <v>3</v>
      </c>
      <c r="P2" s="99">
        <v>4</v>
      </c>
      <c r="Q2" s="99">
        <v>5</v>
      </c>
      <c r="R2" s="99">
        <v>6</v>
      </c>
      <c r="S2" s="5"/>
      <c r="AC2"/>
      <c r="AD2"/>
      <c r="AE2"/>
      <c r="AF2"/>
    </row>
    <row r="3" spans="1:32" ht="14.4" customHeight="1" x14ac:dyDescent="0.3">
      <c r="A3" s="2">
        <v>0</v>
      </c>
      <c r="B3" s="3" t="s">
        <v>57</v>
      </c>
      <c r="C3"/>
      <c r="D3" s="1">
        <v>0</v>
      </c>
      <c r="E3" s="1"/>
      <c r="F3" s="1" t="s">
        <v>0</v>
      </c>
      <c r="G3" s="1"/>
      <c r="H3" s="1">
        <v>1</v>
      </c>
      <c r="I3" s="102" t="s">
        <v>127</v>
      </c>
      <c r="J3" s="98" t="s">
        <v>120</v>
      </c>
      <c r="K3">
        <v>0</v>
      </c>
      <c r="L3">
        <v>0.68</v>
      </c>
      <c r="M3">
        <v>63.915124466924517</v>
      </c>
      <c r="N3">
        <v>82.595580680353066</v>
      </c>
      <c r="O3">
        <v>86.098166220370913</v>
      </c>
      <c r="P3">
        <v>87.265694733710191</v>
      </c>
      <c r="Q3">
        <v>99.107408509372192</v>
      </c>
      <c r="R3">
        <v>99.107408509372192</v>
      </c>
      <c r="S3" s="5">
        <v>99.999999999999986</v>
      </c>
    </row>
    <row r="4" spans="1:32" ht="14.4" customHeight="1" x14ac:dyDescent="0.3">
      <c r="A4" s="2">
        <v>0</v>
      </c>
      <c r="B4" s="3" t="s">
        <v>58</v>
      </c>
      <c r="C4"/>
      <c r="D4" s="1">
        <v>0</v>
      </c>
      <c r="E4" s="1"/>
      <c r="F4" s="1" t="s">
        <v>0</v>
      </c>
      <c r="G4" s="1"/>
      <c r="H4" s="1">
        <v>1</v>
      </c>
      <c r="I4" s="102" t="s">
        <v>130</v>
      </c>
      <c r="J4" s="98" t="s">
        <v>119</v>
      </c>
      <c r="K4" s="101">
        <v>0</v>
      </c>
      <c r="L4" s="101">
        <v>0.89181286549707606</v>
      </c>
      <c r="M4" s="101">
        <v>71.655058479532173</v>
      </c>
      <c r="N4" s="101">
        <v>86.952657894736845</v>
      </c>
      <c r="O4" s="101">
        <v>91.323400584795323</v>
      </c>
      <c r="P4" s="101">
        <v>93.508771929824562</v>
      </c>
      <c r="Q4" s="101">
        <v>99.67836257309942</v>
      </c>
      <c r="R4" s="101">
        <v>99.67836257309942</v>
      </c>
      <c r="S4" s="5">
        <v>100</v>
      </c>
    </row>
    <row r="5" spans="1:32" x14ac:dyDescent="0.3">
      <c r="A5" s="2">
        <v>0</v>
      </c>
      <c r="B5" s="3" t="s">
        <v>59</v>
      </c>
      <c r="C5"/>
      <c r="D5" s="1">
        <v>0</v>
      </c>
      <c r="E5" s="1"/>
      <c r="F5" s="1" t="s">
        <v>0</v>
      </c>
      <c r="G5" s="1"/>
      <c r="H5" s="1">
        <v>2</v>
      </c>
      <c r="I5" s="102" t="s">
        <v>132</v>
      </c>
      <c r="J5" s="98" t="s">
        <v>118</v>
      </c>
      <c r="K5">
        <v>0</v>
      </c>
      <c r="L5">
        <v>1.6464131713053705</v>
      </c>
      <c r="M5">
        <v>75.546413171305375</v>
      </c>
      <c r="N5">
        <v>88.374102966157054</v>
      </c>
      <c r="O5">
        <v>92.039157193257537</v>
      </c>
      <c r="P5">
        <v>93.871684306807779</v>
      </c>
      <c r="Q5">
        <v>99.830131974389118</v>
      </c>
      <c r="R5">
        <v>99.830131974389118</v>
      </c>
      <c r="S5" s="5">
        <v>99.999999999999986</v>
      </c>
    </row>
    <row r="6" spans="1:32" x14ac:dyDescent="0.3">
      <c r="A6" s="2">
        <v>0</v>
      </c>
      <c r="B6" s="3" t="s">
        <v>60</v>
      </c>
      <c r="C6"/>
      <c r="D6" s="1">
        <v>0</v>
      </c>
      <c r="E6" s="1"/>
      <c r="F6" s="1" t="s">
        <v>0</v>
      </c>
      <c r="G6" s="1"/>
      <c r="H6" s="1">
        <v>2</v>
      </c>
      <c r="I6" s="102" t="s">
        <v>131</v>
      </c>
      <c r="J6" s="98" t="s">
        <v>117</v>
      </c>
      <c r="K6">
        <v>0</v>
      </c>
      <c r="L6">
        <v>1.03531360590317</v>
      </c>
      <c r="M6">
        <v>75.654687147052186</v>
      </c>
      <c r="N6">
        <v>89.802535577140276</v>
      </c>
      <c r="O6">
        <v>93.575295158497099</v>
      </c>
      <c r="P6">
        <v>94.518485053836301</v>
      </c>
      <c r="Q6">
        <v>99.958587455763862</v>
      </c>
      <c r="R6">
        <v>99.958587455763862</v>
      </c>
      <c r="S6" s="5">
        <v>99.999999999999986</v>
      </c>
    </row>
    <row r="7" spans="1:32" x14ac:dyDescent="0.3">
      <c r="A7" s="2">
        <v>0</v>
      </c>
      <c r="B7" s="3" t="s">
        <v>61</v>
      </c>
      <c r="C7"/>
      <c r="D7" s="1">
        <v>0</v>
      </c>
      <c r="E7" s="1"/>
      <c r="F7" s="1" t="s">
        <v>0</v>
      </c>
      <c r="G7" s="1"/>
      <c r="H7" s="1">
        <v>3</v>
      </c>
      <c r="I7" s="102" t="s">
        <v>129</v>
      </c>
      <c r="J7" s="98" t="s">
        <v>116</v>
      </c>
      <c r="K7">
        <v>0</v>
      </c>
      <c r="L7">
        <v>1.7427385892116183</v>
      </c>
      <c r="M7">
        <v>82.313692946058083</v>
      </c>
      <c r="N7">
        <v>92.08</v>
      </c>
      <c r="O7">
        <v>94.870373443983397</v>
      </c>
      <c r="P7">
        <v>96.265560165975103</v>
      </c>
      <c r="Q7">
        <v>99.972337482710927</v>
      </c>
      <c r="R7">
        <v>99.972337482710927</v>
      </c>
      <c r="S7" s="5">
        <v>100</v>
      </c>
    </row>
    <row r="8" spans="1:32" ht="14.4" customHeight="1" x14ac:dyDescent="0.3">
      <c r="A8" s="2">
        <v>0</v>
      </c>
      <c r="B8" s="3" t="s">
        <v>62</v>
      </c>
      <c r="C8"/>
      <c r="D8" s="1">
        <v>0</v>
      </c>
      <c r="E8" s="1"/>
      <c r="F8" s="1" t="s">
        <v>1</v>
      </c>
      <c r="G8" s="1"/>
      <c r="H8" s="1">
        <v>3</v>
      </c>
      <c r="I8" s="102" t="s">
        <v>133</v>
      </c>
      <c r="J8" s="98" t="s">
        <v>121</v>
      </c>
      <c r="K8">
        <v>0</v>
      </c>
      <c r="L8">
        <v>3.3140016570008286</v>
      </c>
      <c r="M8">
        <v>82.016404308202155</v>
      </c>
      <c r="N8">
        <v>91.212212096106043</v>
      </c>
      <c r="O8">
        <v>93.839585749792874</v>
      </c>
      <c r="P8">
        <v>95.153272576636283</v>
      </c>
      <c r="Q8">
        <v>99.627174813587402</v>
      </c>
      <c r="R8">
        <v>99.627174813587402</v>
      </c>
      <c r="S8" s="5">
        <v>100</v>
      </c>
    </row>
    <row r="9" spans="1:32" ht="14.4" customHeight="1" x14ac:dyDescent="0.3">
      <c r="A9" s="2">
        <v>0</v>
      </c>
      <c r="B9" s="3" t="s">
        <v>63</v>
      </c>
      <c r="C9"/>
      <c r="D9" s="1">
        <v>1</v>
      </c>
      <c r="E9" s="1"/>
      <c r="F9" s="1" t="s">
        <v>1</v>
      </c>
      <c r="G9" s="1"/>
      <c r="H9" s="1">
        <v>4</v>
      </c>
      <c r="I9" s="102" t="s">
        <v>135</v>
      </c>
      <c r="J9" s="98" t="s">
        <v>122</v>
      </c>
      <c r="K9">
        <v>0</v>
      </c>
      <c r="L9">
        <v>6.9060773480662982</v>
      </c>
      <c r="M9">
        <v>80.450276243093924</v>
      </c>
      <c r="N9">
        <v>86.910220994475139</v>
      </c>
      <c r="O9">
        <v>90.786187845303871</v>
      </c>
      <c r="P9">
        <v>93.370165745856355</v>
      </c>
      <c r="Q9">
        <v>99.585635359116026</v>
      </c>
      <c r="R9">
        <v>99.585635359116026</v>
      </c>
      <c r="S9" s="5">
        <v>100</v>
      </c>
    </row>
    <row r="10" spans="1:32" x14ac:dyDescent="0.3">
      <c r="A10" s="2">
        <v>0</v>
      </c>
      <c r="B10" s="3" t="s">
        <v>64</v>
      </c>
      <c r="C10"/>
      <c r="D10" s="1">
        <v>1</v>
      </c>
      <c r="E10" s="1"/>
      <c r="F10" s="1" t="s">
        <v>1</v>
      </c>
      <c r="G10" s="1"/>
      <c r="H10" s="1">
        <v>4</v>
      </c>
      <c r="I10" s="102" t="s">
        <v>128</v>
      </c>
      <c r="J10" s="98" t="s">
        <v>123</v>
      </c>
      <c r="K10">
        <v>0</v>
      </c>
      <c r="L10">
        <v>8.1699346405228752</v>
      </c>
      <c r="M10">
        <v>86.225490196078425</v>
      </c>
      <c r="N10">
        <v>92.093137254901947</v>
      </c>
      <c r="O10">
        <v>93.769607843137237</v>
      </c>
      <c r="P10">
        <v>94.607843137254889</v>
      </c>
      <c r="Q10">
        <v>99.183006535947698</v>
      </c>
      <c r="R10">
        <v>99.183006535947698</v>
      </c>
      <c r="S10" s="5">
        <v>99.999999999999986</v>
      </c>
    </row>
    <row r="11" spans="1:32" x14ac:dyDescent="0.3">
      <c r="A11" s="2">
        <v>0</v>
      </c>
      <c r="B11" s="3" t="s">
        <v>65</v>
      </c>
      <c r="C11"/>
      <c r="D11" s="1">
        <v>1</v>
      </c>
      <c r="E11" s="1"/>
      <c r="F11" s="1" t="s">
        <v>1</v>
      </c>
      <c r="G11" s="1"/>
      <c r="H11" s="1">
        <v>5</v>
      </c>
      <c r="I11" s="102" t="s">
        <v>134</v>
      </c>
      <c r="J11" s="98" t="s">
        <v>124</v>
      </c>
      <c r="K11">
        <v>0</v>
      </c>
      <c r="L11">
        <v>8.4078711985688734</v>
      </c>
      <c r="M11">
        <v>91.115563506261168</v>
      </c>
      <c r="N11">
        <v>94.39499105545616</v>
      </c>
      <c r="O11">
        <v>96.362647584973161</v>
      </c>
      <c r="P11">
        <v>97.674418604651152</v>
      </c>
      <c r="Q11">
        <v>99.999999999999986</v>
      </c>
      <c r="R11">
        <v>99.999999999999986</v>
      </c>
      <c r="S11" s="5">
        <v>99.999999999999986</v>
      </c>
    </row>
    <row r="12" spans="1:32" x14ac:dyDescent="0.3">
      <c r="A12" s="2">
        <v>0</v>
      </c>
      <c r="B12" s="3" t="s">
        <v>66</v>
      </c>
      <c r="C12"/>
      <c r="D12" s="1">
        <v>1</v>
      </c>
      <c r="E12" s="1"/>
      <c r="F12" s="1" t="s">
        <v>1</v>
      </c>
      <c r="G12" s="1"/>
      <c r="H12" s="1">
        <v>6</v>
      </c>
      <c r="I12"/>
    </row>
    <row r="13" spans="1:32" x14ac:dyDescent="0.3">
      <c r="A13" s="2">
        <v>0</v>
      </c>
      <c r="B13" s="3" t="s">
        <v>67</v>
      </c>
      <c r="C13"/>
      <c r="D13" s="1">
        <v>2</v>
      </c>
      <c r="E13" s="1"/>
      <c r="F13" s="1" t="s">
        <v>1</v>
      </c>
      <c r="G13" s="1"/>
      <c r="H13" s="1">
        <v>7</v>
      </c>
      <c r="I13"/>
      <c r="K13" s="2" t="s">
        <v>147</v>
      </c>
    </row>
    <row r="14" spans="1:32" x14ac:dyDescent="0.3">
      <c r="A14" s="2">
        <v>0</v>
      </c>
      <c r="B14" s="3" t="s">
        <v>68</v>
      </c>
      <c r="C14"/>
      <c r="D14" s="1">
        <v>2</v>
      </c>
      <c r="E14" s="1"/>
      <c r="F14" s="1" t="s">
        <v>1</v>
      </c>
      <c r="G14" s="1"/>
      <c r="H14" s="1">
        <v>8</v>
      </c>
      <c r="I14"/>
      <c r="K14" s="2" t="s">
        <v>148</v>
      </c>
    </row>
    <row r="15" spans="1:32" x14ac:dyDescent="0.3">
      <c r="A15" s="2">
        <v>0</v>
      </c>
      <c r="B15" s="3" t="s">
        <v>69</v>
      </c>
      <c r="C15"/>
      <c r="D15" s="1">
        <v>2</v>
      </c>
      <c r="E15" s="1"/>
      <c r="F15" s="1" t="s">
        <v>1</v>
      </c>
      <c r="G15" s="1"/>
      <c r="H15" s="1">
        <v>9</v>
      </c>
      <c r="I15"/>
      <c r="K15" s="2" t="s">
        <v>149</v>
      </c>
    </row>
    <row r="16" spans="1:32" x14ac:dyDescent="0.3">
      <c r="A16" s="2">
        <v>0</v>
      </c>
      <c r="B16" s="3" t="s">
        <v>70</v>
      </c>
      <c r="C16"/>
      <c r="D16" s="1">
        <v>2</v>
      </c>
      <c r="E16" s="1"/>
      <c r="F16" s="1" t="s">
        <v>1</v>
      </c>
      <c r="G16" s="1"/>
      <c r="H16" s="1">
        <v>10</v>
      </c>
      <c r="I16" t="s">
        <v>137</v>
      </c>
      <c r="K16" s="2" t="s">
        <v>150</v>
      </c>
    </row>
    <row r="17" spans="1:11" x14ac:dyDescent="0.3">
      <c r="A17" s="2">
        <v>0</v>
      </c>
      <c r="B17" s="3" t="s">
        <v>71</v>
      </c>
      <c r="C17"/>
      <c r="D17" s="1">
        <v>4</v>
      </c>
      <c r="E17" s="1"/>
      <c r="F17" s="1" t="s">
        <v>1</v>
      </c>
      <c r="G17" s="1"/>
      <c r="H17" s="1">
        <v>11</v>
      </c>
      <c r="I17"/>
    </row>
    <row r="18" spans="1:11" x14ac:dyDescent="0.3">
      <c r="A18" s="2">
        <v>0</v>
      </c>
      <c r="B18" s="3" t="s">
        <v>72</v>
      </c>
      <c r="C18"/>
      <c r="D18" s="1">
        <v>4</v>
      </c>
      <c r="E18" s="1"/>
      <c r="F18" s="1" t="s">
        <v>21</v>
      </c>
      <c r="G18" s="1"/>
      <c r="H18" s="1" t="s">
        <v>27</v>
      </c>
      <c r="K18" s="2" t="s">
        <v>151</v>
      </c>
    </row>
    <row r="19" spans="1:11" x14ac:dyDescent="0.3">
      <c r="A19" s="2">
        <v>0</v>
      </c>
      <c r="B19" s="3" t="s">
        <v>73</v>
      </c>
      <c r="C19"/>
      <c r="D19" s="1">
        <v>0</v>
      </c>
      <c r="E19" s="1"/>
      <c r="F19" s="1" t="s">
        <v>21</v>
      </c>
      <c r="G19" s="1"/>
      <c r="H19" s="1" t="s">
        <v>27</v>
      </c>
      <c r="K19" s="2" t="s">
        <v>152</v>
      </c>
    </row>
    <row r="20" spans="1:11" x14ac:dyDescent="0.3">
      <c r="A20" s="2">
        <v>0</v>
      </c>
      <c r="B20" s="3" t="s">
        <v>126</v>
      </c>
      <c r="C20"/>
      <c r="D20" s="1">
        <v>6</v>
      </c>
      <c r="E20" s="1"/>
      <c r="F20" s="1" t="s">
        <v>21</v>
      </c>
      <c r="G20" s="1"/>
      <c r="H20" s="1" t="s">
        <v>27</v>
      </c>
    </row>
    <row r="21" spans="1:11" x14ac:dyDescent="0.3">
      <c r="A21" s="2">
        <v>0</v>
      </c>
      <c r="B21" s="3" t="s">
        <v>74</v>
      </c>
      <c r="C21"/>
      <c r="D21" s="1">
        <v>0</v>
      </c>
      <c r="E21" s="1"/>
      <c r="F21" s="1" t="s">
        <v>21</v>
      </c>
      <c r="G21" s="1"/>
      <c r="H21" s="1" t="s">
        <v>27</v>
      </c>
    </row>
    <row r="22" spans="1:11" x14ac:dyDescent="0.3">
      <c r="A22" s="2">
        <v>0</v>
      </c>
      <c r="B22" s="3" t="s">
        <v>54</v>
      </c>
      <c r="D22" s="1">
        <v>0</v>
      </c>
      <c r="E22" s="1"/>
      <c r="F22" s="1" t="s">
        <v>21</v>
      </c>
      <c r="G22" s="1"/>
      <c r="H22" s="1" t="s">
        <v>27</v>
      </c>
    </row>
    <row r="23" spans="1:11" x14ac:dyDescent="0.3">
      <c r="A23" s="2">
        <v>0</v>
      </c>
      <c r="B23" s="3" t="s">
        <v>75</v>
      </c>
      <c r="D23" s="1">
        <v>0</v>
      </c>
      <c r="E23" s="1"/>
      <c r="F23" s="1" t="s">
        <v>21</v>
      </c>
      <c r="G23" s="1"/>
      <c r="H23" s="1" t="s">
        <v>27</v>
      </c>
    </row>
    <row r="24" spans="1:11" x14ac:dyDescent="0.3">
      <c r="A24" s="2">
        <v>0</v>
      </c>
      <c r="B24" s="3" t="s">
        <v>76</v>
      </c>
      <c r="D24" s="1">
        <v>0</v>
      </c>
      <c r="E24" s="1"/>
      <c r="F24" s="1" t="s">
        <v>22</v>
      </c>
      <c r="G24" s="1"/>
      <c r="H24" s="1" t="s">
        <v>27</v>
      </c>
    </row>
    <row r="25" spans="1:11" x14ac:dyDescent="0.3">
      <c r="A25" s="2">
        <v>0</v>
      </c>
      <c r="B25" s="3" t="s">
        <v>76</v>
      </c>
      <c r="D25" s="1">
        <v>1</v>
      </c>
      <c r="E25" s="1"/>
      <c r="F25" s="1" t="s">
        <v>22</v>
      </c>
      <c r="G25" s="1"/>
      <c r="H25" s="1" t="s">
        <v>27</v>
      </c>
    </row>
    <row r="26" spans="1:11" x14ac:dyDescent="0.3">
      <c r="A26" s="2">
        <v>0</v>
      </c>
      <c r="B26" s="3" t="s">
        <v>76</v>
      </c>
      <c r="D26"/>
      <c r="E26"/>
      <c r="F26"/>
      <c r="G26"/>
    </row>
    <row r="27" spans="1:11" x14ac:dyDescent="0.3">
      <c r="A27" s="2">
        <v>0</v>
      </c>
      <c r="B27" s="3" t="s">
        <v>76</v>
      </c>
    </row>
    <row r="28" spans="1:11" x14ac:dyDescent="0.3">
      <c r="A28" s="2">
        <v>0</v>
      </c>
      <c r="B28" t="s">
        <v>55</v>
      </c>
    </row>
    <row r="29" spans="1:11" x14ac:dyDescent="0.3">
      <c r="A29" s="2">
        <v>1</v>
      </c>
      <c r="B29" s="3" t="s">
        <v>77</v>
      </c>
    </row>
    <row r="30" spans="1:11" x14ac:dyDescent="0.3">
      <c r="A30" s="2">
        <v>1</v>
      </c>
      <c r="B30" s="3" t="s">
        <v>81</v>
      </c>
    </row>
    <row r="31" spans="1:11" x14ac:dyDescent="0.3">
      <c r="A31" s="2">
        <v>2</v>
      </c>
      <c r="B31" s="3" t="s">
        <v>78</v>
      </c>
    </row>
    <row r="32" spans="1:11" x14ac:dyDescent="0.3">
      <c r="A32" s="2">
        <v>3</v>
      </c>
      <c r="B32" s="3" t="s">
        <v>79</v>
      </c>
    </row>
    <row r="33" spans="1:2" x14ac:dyDescent="0.3">
      <c r="A33" s="2">
        <v>3</v>
      </c>
      <c r="B33" s="3" t="s">
        <v>80</v>
      </c>
    </row>
    <row r="34" spans="1:2" x14ac:dyDescent="0.3">
      <c r="A34" s="2">
        <v>4</v>
      </c>
      <c r="B34" s="3" t="s">
        <v>82</v>
      </c>
    </row>
    <row r="35" spans="1:2" x14ac:dyDescent="0.3">
      <c r="A35" s="2">
        <v>4</v>
      </c>
      <c r="B35" s="3" t="s">
        <v>83</v>
      </c>
    </row>
    <row r="36" spans="1:2" x14ac:dyDescent="0.3">
      <c r="A36" s="2">
        <v>4</v>
      </c>
      <c r="B36" s="3" t="s">
        <v>84</v>
      </c>
    </row>
    <row r="37" spans="1:2" x14ac:dyDescent="0.3">
      <c r="A37" s="2">
        <v>4</v>
      </c>
      <c r="B37" s="3" t="s">
        <v>85</v>
      </c>
    </row>
    <row r="38" spans="1:2" x14ac:dyDescent="0.3">
      <c r="A38" s="2">
        <v>6</v>
      </c>
      <c r="B38" s="3" t="s">
        <v>86</v>
      </c>
    </row>
    <row r="39" spans="1:2" x14ac:dyDescent="0.3">
      <c r="A39" s="2">
        <v>6</v>
      </c>
      <c r="B39" s="3" t="s">
        <v>87</v>
      </c>
    </row>
    <row r="40" spans="1:2" x14ac:dyDescent="0.3">
      <c r="A40" s="2">
        <v>6</v>
      </c>
      <c r="B40" s="3" t="s">
        <v>88</v>
      </c>
    </row>
    <row r="44" spans="1:2" x14ac:dyDescent="0.3">
      <c r="B44" s="3"/>
    </row>
    <row r="45" spans="1:2" x14ac:dyDescent="0.3">
      <c r="B45" s="2" t="s">
        <v>40</v>
      </c>
    </row>
    <row r="46" spans="1:2" x14ac:dyDescent="0.3">
      <c r="B46" s="2" t="s">
        <v>41</v>
      </c>
    </row>
    <row r="47" spans="1:2" x14ac:dyDescent="0.3">
      <c r="B47" s="2" t="s">
        <v>42</v>
      </c>
    </row>
    <row r="48" spans="1:2" x14ac:dyDescent="0.3">
      <c r="B48" s="2" t="s">
        <v>43</v>
      </c>
    </row>
    <row r="49" spans="2:2" x14ac:dyDescent="0.3">
      <c r="B49" s="2" t="s">
        <v>44</v>
      </c>
    </row>
    <row r="51" spans="2:2" x14ac:dyDescent="0.3">
      <c r="B51" s="2" t="s">
        <v>45</v>
      </c>
    </row>
    <row r="52" spans="2:2" x14ac:dyDescent="0.3">
      <c r="B52" s="2" t="s">
        <v>46</v>
      </c>
    </row>
    <row r="53" spans="2:2" x14ac:dyDescent="0.3">
      <c r="B53" s="2" t="s">
        <v>47</v>
      </c>
    </row>
    <row r="54" spans="2:2" x14ac:dyDescent="0.3">
      <c r="B54" s="2" t="s">
        <v>48</v>
      </c>
    </row>
    <row r="55" spans="2:2" x14ac:dyDescent="0.3">
      <c r="B55" s="2" t="s">
        <v>49</v>
      </c>
    </row>
    <row r="56" spans="2:2" x14ac:dyDescent="0.3">
      <c r="B56" s="2" t="s">
        <v>50</v>
      </c>
    </row>
  </sheetData>
  <sortState xmlns:xlrd2="http://schemas.microsoft.com/office/spreadsheetml/2017/richdata2" ref="J3:J42">
    <sortCondition ref="J3"/>
  </sortState>
  <phoneticPr fontId="2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0BF9-8E9A-4619-9A00-BD3E5ACED8D2}">
  <sheetPr codeName="Sheet11"/>
  <dimension ref="A1"/>
  <sheetViews>
    <sheetView topLeftCell="A22" workbookViewId="0">
      <selection activeCell="A22" sqref="A22"/>
    </sheetView>
  </sheetViews>
  <sheetFormatPr defaultRowHeight="14.4" x14ac:dyDescent="0.3"/>
  <cols>
    <col min="1" max="1" width="5.21875" customWidth="1"/>
    <col min="2" max="2" width="11.5546875" customWidth="1"/>
    <col min="3" max="3" width="5.6640625" customWidth="1"/>
    <col min="4" max="4" width="5.44140625" customWidth="1"/>
    <col min="5" max="5" width="23.21875" customWidth="1"/>
    <col min="6" max="11" width="7.77734375" customWidth="1"/>
    <col min="13" max="13" width="13.33203125" bestFit="1" customWidth="1"/>
    <col min="14" max="19" width="7.6640625" customWidth="1"/>
    <col min="20" max="30" width="6.5546875" customWidth="1"/>
  </cols>
  <sheetData/>
  <sortState xmlns:xlrd2="http://schemas.microsoft.com/office/spreadsheetml/2017/richdata2" ref="L24:U35">
    <sortCondition descending="1" ref="S25"/>
  </sortState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Team sheet</vt:lpstr>
      <vt:lpstr>Match sheet</vt:lpstr>
      <vt:lpstr>info</vt:lpstr>
      <vt:lpstr>Innings scorecards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Johns</dc:creator>
  <cp:lastModifiedBy>Jeremy Johns</cp:lastModifiedBy>
  <dcterms:created xsi:type="dcterms:W3CDTF">2021-03-27T18:21:03Z</dcterms:created>
  <dcterms:modified xsi:type="dcterms:W3CDTF">2023-02-04T10:43:42Z</dcterms:modified>
</cp:coreProperties>
</file>