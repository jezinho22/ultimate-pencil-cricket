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zjo\Documents\Data_science\Eng v The World\"/>
    </mc:Choice>
  </mc:AlternateContent>
  <xr:revisionPtr revIDLastSave="0" documentId="13_ncr:1_{39996031-9E91-40FA-BD99-3D70B1C26418}" xr6:coauthVersionLast="47" xr6:coauthVersionMax="47" xr10:uidLastSave="{00000000-0000-0000-0000-000000000000}"/>
  <bookViews>
    <workbookView xWindow="-108" yWindow="-108" windowWidth="23256" windowHeight="13176" activeTab="2" xr2:uid="{C16A0C07-25EB-44A7-B60A-AC25430ED862}"/>
  </bookViews>
  <sheets>
    <sheet name="Instructions" sheetId="17" r:id="rId1"/>
    <sheet name="Team sheet" sheetId="13" r:id="rId2"/>
    <sheet name="Match sheet" sheetId="1" r:id="rId3"/>
    <sheet name="info" sheetId="2" r:id="rId4"/>
    <sheet name="Innings scorecards" sheetId="12" r:id="rId5"/>
    <sheet name="Sheet1" sheetId="16" r:id="rId6"/>
    <sheet name="BowlingX" sheetId="15" r:id="rId7"/>
    <sheet name="T20 calcs" sheetId="18" r:id="rId8"/>
    <sheet name="BattingX" sheetId="14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5" i="12" l="1"/>
  <c r="S35" i="12"/>
  <c r="F35" i="12"/>
  <c r="P34" i="12"/>
  <c r="T34" i="12" s="1"/>
  <c r="J34" i="12"/>
  <c r="T33" i="12"/>
  <c r="P33" i="12"/>
  <c r="J33" i="12"/>
  <c r="P32" i="12"/>
  <c r="T32" i="12" s="1"/>
  <c r="J32" i="12"/>
  <c r="P31" i="12"/>
  <c r="T31" i="12" s="1"/>
  <c r="J31" i="12"/>
  <c r="T30" i="12"/>
  <c r="P30" i="12"/>
  <c r="J30" i="12"/>
  <c r="T29" i="12"/>
  <c r="P29" i="12"/>
  <c r="J29" i="12"/>
  <c r="T28" i="12"/>
  <c r="P28" i="12"/>
  <c r="J28" i="12"/>
  <c r="T27" i="12"/>
  <c r="P27" i="12"/>
  <c r="J27" i="12"/>
  <c r="T26" i="12"/>
  <c r="P26" i="12"/>
  <c r="J26" i="12"/>
  <c r="T25" i="12"/>
  <c r="P25" i="12"/>
  <c r="J25" i="12"/>
  <c r="T24" i="12"/>
  <c r="P24" i="12"/>
  <c r="P35" i="12" s="1"/>
  <c r="J24" i="12"/>
  <c r="M32" i="2"/>
  <c r="P52" i="2"/>
  <c r="Q52" i="2"/>
  <c r="R52" i="2"/>
  <c r="P53" i="2"/>
  <c r="Q53" i="2"/>
  <c r="R53" i="2"/>
  <c r="P54" i="2"/>
  <c r="Q54" i="2"/>
  <c r="R54" i="2"/>
  <c r="L55" i="2"/>
  <c r="M55" i="2"/>
  <c r="N55" i="2"/>
  <c r="O55" i="2"/>
  <c r="P55" i="2"/>
  <c r="Q55" i="2"/>
  <c r="R55" i="2"/>
  <c r="O56" i="2"/>
  <c r="P56" i="2"/>
  <c r="Q56" i="2"/>
  <c r="R56" i="2"/>
  <c r="O57" i="2"/>
  <c r="P57" i="2"/>
  <c r="Q57" i="2"/>
  <c r="R57" i="2"/>
  <c r="O58" i="2"/>
  <c r="P58" i="2"/>
  <c r="Q58" i="2"/>
  <c r="R58" i="2"/>
  <c r="O59" i="2"/>
  <c r="P59" i="2"/>
  <c r="Q59" i="2"/>
  <c r="R59" i="2"/>
  <c r="O51" i="2"/>
  <c r="P51" i="2"/>
  <c r="Q51" i="2"/>
  <c r="R51" i="2"/>
  <c r="P41" i="2"/>
  <c r="Q41" i="2"/>
  <c r="R41" i="2"/>
  <c r="P42" i="2"/>
  <c r="Q42" i="2"/>
  <c r="R42" i="2"/>
  <c r="P43" i="2"/>
  <c r="Q43" i="2"/>
  <c r="R43" i="2"/>
  <c r="O44" i="2"/>
  <c r="P44" i="2"/>
  <c r="Q44" i="2"/>
  <c r="R44" i="2"/>
  <c r="P45" i="2"/>
  <c r="Q45" i="2"/>
  <c r="R45" i="2"/>
  <c r="P46" i="2"/>
  <c r="Q46" i="2"/>
  <c r="R46" i="2"/>
  <c r="P47" i="2"/>
  <c r="Q47" i="2"/>
  <c r="R47" i="2"/>
  <c r="P48" i="2"/>
  <c r="Q48" i="2"/>
  <c r="R48" i="2"/>
  <c r="P40" i="2"/>
  <c r="Q40" i="2"/>
  <c r="R40" i="2"/>
  <c r="K17" i="2"/>
  <c r="L17" i="2"/>
  <c r="P17" i="2"/>
  <c r="Q17" i="2"/>
  <c r="R17" i="2"/>
  <c r="K18" i="2"/>
  <c r="L18" i="2"/>
  <c r="O18" i="2"/>
  <c r="O42" i="2" s="1"/>
  <c r="P18" i="2"/>
  <c r="Q18" i="2"/>
  <c r="R18" i="2"/>
  <c r="K19" i="2"/>
  <c r="L19" i="2"/>
  <c r="P19" i="2"/>
  <c r="Q19" i="2"/>
  <c r="R19" i="2"/>
  <c r="K20" i="2"/>
  <c r="L20" i="2"/>
  <c r="M20" i="2"/>
  <c r="N20" i="2"/>
  <c r="O20" i="2"/>
  <c r="P20" i="2"/>
  <c r="Q20" i="2"/>
  <c r="R20" i="2"/>
  <c r="K21" i="2"/>
  <c r="L21" i="2"/>
  <c r="O21" i="2"/>
  <c r="O45" i="2" s="1"/>
  <c r="P21" i="2"/>
  <c r="Q21" i="2"/>
  <c r="R21" i="2"/>
  <c r="K22" i="2"/>
  <c r="L22" i="2"/>
  <c r="P22" i="2"/>
  <c r="Q22" i="2"/>
  <c r="R22" i="2"/>
  <c r="K23" i="2"/>
  <c r="L23" i="2"/>
  <c r="P23" i="2"/>
  <c r="Q23" i="2"/>
  <c r="R23" i="2"/>
  <c r="K24" i="2"/>
  <c r="L24" i="2"/>
  <c r="O24" i="2"/>
  <c r="O48" i="2" s="1"/>
  <c r="P24" i="2"/>
  <c r="Q24" i="2"/>
  <c r="R24" i="2"/>
  <c r="L16" i="2"/>
  <c r="P16" i="2"/>
  <c r="Q16" i="2"/>
  <c r="R16" i="2"/>
  <c r="K16" i="2"/>
  <c r="P37" i="2"/>
  <c r="O37" i="2"/>
  <c r="N37" i="2"/>
  <c r="N59" i="2" s="1"/>
  <c r="M37" i="2"/>
  <c r="L59" i="2" s="1"/>
  <c r="P36" i="2"/>
  <c r="O36" i="2"/>
  <c r="O23" i="2" s="1"/>
  <c r="O47" i="2" s="1"/>
  <c r="N36" i="2"/>
  <c r="M36" i="2"/>
  <c r="L58" i="2" s="1"/>
  <c r="P35" i="2"/>
  <c r="O35" i="2"/>
  <c r="O22" i="2" s="1"/>
  <c r="O46" i="2" s="1"/>
  <c r="N35" i="2"/>
  <c r="M35" i="2"/>
  <c r="M22" i="2" s="1"/>
  <c r="P34" i="2"/>
  <c r="O34" i="2"/>
  <c r="N34" i="2"/>
  <c r="N56" i="2" s="1"/>
  <c r="M34" i="2"/>
  <c r="R32" i="2"/>
  <c r="Q32" i="2"/>
  <c r="P32" i="2"/>
  <c r="O32" i="2"/>
  <c r="O54" i="2" s="1"/>
  <c r="N32" i="2"/>
  <c r="R31" i="2"/>
  <c r="Q31" i="2"/>
  <c r="P31" i="2"/>
  <c r="O31" i="2"/>
  <c r="O53" i="2" s="1"/>
  <c r="N31" i="2"/>
  <c r="N53" i="2" s="1"/>
  <c r="M31" i="2"/>
  <c r="L53" i="2" s="1"/>
  <c r="R30" i="2"/>
  <c r="Q30" i="2"/>
  <c r="P30" i="2"/>
  <c r="O30" i="2"/>
  <c r="O52" i="2" s="1"/>
  <c r="N30" i="2"/>
  <c r="M30" i="2"/>
  <c r="R29" i="2"/>
  <c r="Q29" i="2"/>
  <c r="P29" i="2"/>
  <c r="O29" i="2"/>
  <c r="O16" i="2" s="1"/>
  <c r="O40" i="2" s="1"/>
  <c r="N29" i="2"/>
  <c r="M29" i="2"/>
  <c r="L51" i="2" s="1"/>
  <c r="T3" i="18"/>
  <c r="U3" i="18" s="1"/>
  <c r="V3" i="18" s="1"/>
  <c r="W3" i="18" s="1"/>
  <c r="X3" i="18" s="1"/>
  <c r="Y3" i="18" s="1"/>
  <c r="Z3" i="18" s="1"/>
  <c r="T4" i="18"/>
  <c r="U4" i="18" s="1"/>
  <c r="V4" i="18" s="1"/>
  <c r="W4" i="18" s="1"/>
  <c r="X4" i="18" s="1"/>
  <c r="Y4" i="18" s="1"/>
  <c r="Z4" i="18" s="1"/>
  <c r="T5" i="18"/>
  <c r="U5" i="18"/>
  <c r="V5" i="18" s="1"/>
  <c r="W5" i="18" s="1"/>
  <c r="X5" i="18" s="1"/>
  <c r="Y5" i="18" s="1"/>
  <c r="Z5" i="18" s="1"/>
  <c r="T6" i="18"/>
  <c r="U6" i="18"/>
  <c r="V6" i="18"/>
  <c r="W6" i="18" s="1"/>
  <c r="X6" i="18" s="1"/>
  <c r="Y6" i="18" s="1"/>
  <c r="Z6" i="18" s="1"/>
  <c r="T7" i="18"/>
  <c r="U7" i="18" s="1"/>
  <c r="V7" i="18" s="1"/>
  <c r="W7" i="18" s="1"/>
  <c r="X7" i="18" s="1"/>
  <c r="Y7" i="18" s="1"/>
  <c r="Z7" i="18" s="1"/>
  <c r="T8" i="18"/>
  <c r="U8" i="18" s="1"/>
  <c r="V8" i="18" s="1"/>
  <c r="W8" i="18" s="1"/>
  <c r="X8" i="18" s="1"/>
  <c r="Y8" i="18" s="1"/>
  <c r="Z8" i="18" s="1"/>
  <c r="T9" i="18"/>
  <c r="U9" i="18"/>
  <c r="V9" i="18" s="1"/>
  <c r="W9" i="18" s="1"/>
  <c r="X9" i="18" s="1"/>
  <c r="Y9" i="18" s="1"/>
  <c r="Z9" i="18" s="1"/>
  <c r="T10" i="18"/>
  <c r="U10" i="18" s="1"/>
  <c r="V10" i="18" s="1"/>
  <c r="W10" i="18" s="1"/>
  <c r="X10" i="18" s="1"/>
  <c r="Y10" i="18" s="1"/>
  <c r="Z10" i="18" s="1"/>
  <c r="T2" i="18"/>
  <c r="U2" i="18" s="1"/>
  <c r="V2" i="18" s="1"/>
  <c r="W2" i="18" s="1"/>
  <c r="X2" i="18" s="1"/>
  <c r="Y2" i="18" s="1"/>
  <c r="Z2" i="18" s="1"/>
  <c r="AA13" i="18"/>
  <c r="AA14" i="18"/>
  <c r="AA15" i="18"/>
  <c r="AA16" i="18"/>
  <c r="AA17" i="18"/>
  <c r="AA18" i="18"/>
  <c r="AA19" i="18"/>
  <c r="AA20" i="18"/>
  <c r="AA12" i="18"/>
  <c r="D14" i="13"/>
  <c r="C14" i="13"/>
  <c r="J20" i="1"/>
  <c r="J21" i="1"/>
  <c r="J22" i="1"/>
  <c r="J23" i="1"/>
  <c r="J24" i="1"/>
  <c r="J25" i="1"/>
  <c r="J26" i="1"/>
  <c r="J27" i="1"/>
  <c r="J28" i="1"/>
  <c r="J18" i="1"/>
  <c r="J19" i="1"/>
  <c r="L46" i="2" l="1"/>
  <c r="M51" i="2"/>
  <c r="M57" i="2"/>
  <c r="M58" i="2"/>
  <c r="M44" i="2"/>
  <c r="N52" i="2"/>
  <c r="N54" i="2"/>
  <c r="M56" i="2"/>
  <c r="O19" i="2"/>
  <c r="O43" i="2" s="1"/>
  <c r="O17" i="2"/>
  <c r="O41" i="2" s="1"/>
  <c r="M52" i="2"/>
  <c r="M54" i="2"/>
  <c r="N44" i="2"/>
  <c r="N24" i="2"/>
  <c r="N48" i="2" s="1"/>
  <c r="N23" i="2"/>
  <c r="N47" i="2" s="1"/>
  <c r="N22" i="2"/>
  <c r="N46" i="2" s="1"/>
  <c r="N21" i="2"/>
  <c r="N45" i="2" s="1"/>
  <c r="N19" i="2"/>
  <c r="N18" i="2"/>
  <c r="N42" i="2" s="1"/>
  <c r="N17" i="2"/>
  <c r="N58" i="2"/>
  <c r="U58" i="2" s="1"/>
  <c r="L57" i="2"/>
  <c r="M53" i="2"/>
  <c r="U53" i="2" s="1"/>
  <c r="M24" i="2"/>
  <c r="L48" i="2" s="1"/>
  <c r="M19" i="2"/>
  <c r="L43" i="2" s="1"/>
  <c r="M18" i="2"/>
  <c r="L42" i="2" s="1"/>
  <c r="M17" i="2"/>
  <c r="N51" i="2"/>
  <c r="U51" i="2" s="1"/>
  <c r="U55" i="2"/>
  <c r="N16" i="2"/>
  <c r="N40" i="2" s="1"/>
  <c r="M23" i="2"/>
  <c r="L47" i="2" s="1"/>
  <c r="M16" i="2"/>
  <c r="L40" i="2" s="1"/>
  <c r="N57" i="2"/>
  <c r="L56" i="2"/>
  <c r="M21" i="2"/>
  <c r="L45" i="2" s="1"/>
  <c r="L52" i="2"/>
  <c r="L41" i="2"/>
  <c r="M59" i="2"/>
  <c r="U59" i="2" s="1"/>
  <c r="L54" i="2"/>
  <c r="L44" i="2"/>
  <c r="I14" i="13"/>
  <c r="H14" i="13"/>
  <c r="U56" i="2" l="1"/>
  <c r="U52" i="2"/>
  <c r="M43" i="2"/>
  <c r="M42" i="2"/>
  <c r="U54" i="2"/>
  <c r="U57" i="2"/>
  <c r="N43" i="2"/>
  <c r="M47" i="2"/>
  <c r="N41" i="2"/>
  <c r="M45" i="2"/>
  <c r="M41" i="2"/>
  <c r="M48" i="2"/>
  <c r="M40" i="2"/>
  <c r="M46" i="2"/>
  <c r="R14" i="16"/>
  <c r="R15" i="16"/>
  <c r="R16" i="16"/>
  <c r="R17" i="16"/>
  <c r="R18" i="16"/>
  <c r="R19" i="16"/>
  <c r="R20" i="16"/>
  <c r="R21" i="16"/>
  <c r="R13" i="16"/>
  <c r="U27" i="16"/>
  <c r="V27" i="16"/>
  <c r="W27" i="16"/>
  <c r="X27" i="16"/>
  <c r="Y27" i="16"/>
  <c r="Z27" i="16"/>
  <c r="AA27" i="16"/>
  <c r="U28" i="16"/>
  <c r="V28" i="16"/>
  <c r="W28" i="16"/>
  <c r="X28" i="16"/>
  <c r="Y28" i="16"/>
  <c r="Z28" i="16"/>
  <c r="AA28" i="16"/>
  <c r="U29" i="16"/>
  <c r="V29" i="16"/>
  <c r="W29" i="16"/>
  <c r="X29" i="16"/>
  <c r="Y29" i="16"/>
  <c r="Z29" i="16"/>
  <c r="AA29" i="16"/>
  <c r="U30" i="16"/>
  <c r="V30" i="16"/>
  <c r="W30" i="16"/>
  <c r="X30" i="16"/>
  <c r="Y30" i="16"/>
  <c r="Z30" i="16"/>
  <c r="AA30" i="16"/>
  <c r="U31" i="16"/>
  <c r="V31" i="16"/>
  <c r="W31" i="16"/>
  <c r="X31" i="16"/>
  <c r="Y31" i="16"/>
  <c r="Z31" i="16"/>
  <c r="AA31" i="16"/>
  <c r="U32" i="16"/>
  <c r="V32" i="16"/>
  <c r="W32" i="16"/>
  <c r="X32" i="16"/>
  <c r="Y32" i="16"/>
  <c r="Z32" i="16"/>
  <c r="AA32" i="16"/>
  <c r="U33" i="16"/>
  <c r="V33" i="16"/>
  <c r="W33" i="16"/>
  <c r="X33" i="16"/>
  <c r="Y33" i="16"/>
  <c r="Z33" i="16"/>
  <c r="AA33" i="16"/>
  <c r="V26" i="16"/>
  <c r="W26" i="16"/>
  <c r="X26" i="16"/>
  <c r="Y26" i="16"/>
  <c r="Z26" i="16"/>
  <c r="AA26" i="16"/>
  <c r="U26" i="16"/>
  <c r="V25" i="16"/>
  <c r="W25" i="16"/>
  <c r="X25" i="16"/>
  <c r="Y25" i="16"/>
  <c r="Z25" i="16"/>
  <c r="AA25" i="16"/>
  <c r="U25" i="16"/>
  <c r="AC51" i="16"/>
  <c r="AB51" i="16"/>
  <c r="AA51" i="16"/>
  <c r="Z51" i="16"/>
  <c r="Y51" i="16"/>
  <c r="X51" i="16"/>
  <c r="W51" i="16"/>
  <c r="V51" i="16"/>
  <c r="U51" i="16"/>
  <c r="T51" i="16"/>
  <c r="S51" i="16"/>
  <c r="R51" i="16"/>
  <c r="E103" i="16"/>
  <c r="C108" i="16" s="1"/>
  <c r="C110" i="16" s="1"/>
  <c r="H110" i="16"/>
  <c r="H111" i="16" s="1"/>
  <c r="G110" i="16"/>
  <c r="G111" i="16" s="1"/>
  <c r="B110" i="16"/>
  <c r="L109" i="16"/>
  <c r="H108" i="16"/>
  <c r="G108" i="16"/>
  <c r="B108" i="16"/>
  <c r="I107" i="16"/>
  <c r="D107" i="16" s="1"/>
  <c r="H107" i="16"/>
  <c r="G107" i="16"/>
  <c r="E107" i="16"/>
  <c r="AB42" i="16"/>
  <c r="Y42" i="16"/>
  <c r="Z42" i="16"/>
  <c r="R42" i="16"/>
  <c r="H101" i="16"/>
  <c r="H102" i="16" s="1"/>
  <c r="G101" i="16"/>
  <c r="G102" i="16" s="1"/>
  <c r="B101" i="16"/>
  <c r="S42" i="16" s="1"/>
  <c r="L100" i="16"/>
  <c r="H99" i="16"/>
  <c r="G99" i="16"/>
  <c r="B99" i="16"/>
  <c r="H98" i="16"/>
  <c r="G98" i="16"/>
  <c r="E94" i="16"/>
  <c r="C99" i="16" s="1"/>
  <c r="AB44" i="16"/>
  <c r="R44" i="16"/>
  <c r="AB41" i="16"/>
  <c r="Z41" i="16"/>
  <c r="R41" i="16"/>
  <c r="E58" i="16"/>
  <c r="C63" i="16" s="1"/>
  <c r="C65" i="16" s="1"/>
  <c r="T39" i="16" s="1"/>
  <c r="E40" i="16"/>
  <c r="C45" i="16" s="1"/>
  <c r="C47" i="16" s="1"/>
  <c r="E31" i="16"/>
  <c r="C36" i="16" s="1"/>
  <c r="C38" i="16" s="1"/>
  <c r="E12" i="16"/>
  <c r="C17" i="16" s="1"/>
  <c r="C19" i="16" s="1"/>
  <c r="E2" i="16"/>
  <c r="C7" i="16" s="1"/>
  <c r="C9" i="16" s="1"/>
  <c r="L8" i="16"/>
  <c r="L18" i="16"/>
  <c r="L28" i="16"/>
  <c r="L37" i="16"/>
  <c r="L46" i="16"/>
  <c r="L55" i="16"/>
  <c r="L64" i="16"/>
  <c r="L73" i="16"/>
  <c r="L82" i="16"/>
  <c r="L91" i="16"/>
  <c r="E85" i="16"/>
  <c r="C90" i="16" s="1"/>
  <c r="C92" i="16" s="1"/>
  <c r="T44" i="16" s="1"/>
  <c r="H83" i="16"/>
  <c r="H84" i="16" s="1"/>
  <c r="G83" i="16"/>
  <c r="G84" i="16" s="1"/>
  <c r="B83" i="16"/>
  <c r="S41" i="16" s="1"/>
  <c r="H81" i="16"/>
  <c r="G81" i="16"/>
  <c r="B81" i="16"/>
  <c r="H80" i="16"/>
  <c r="G80" i="16"/>
  <c r="H92" i="16"/>
  <c r="H93" i="16" s="1"/>
  <c r="G92" i="16"/>
  <c r="G93" i="16" s="1"/>
  <c r="B92" i="16"/>
  <c r="S44" i="16" s="1"/>
  <c r="H90" i="16"/>
  <c r="G90" i="16"/>
  <c r="B90" i="16"/>
  <c r="H89" i="16"/>
  <c r="G89" i="16"/>
  <c r="E76" i="16"/>
  <c r="C81" i="16" s="1"/>
  <c r="E22" i="16"/>
  <c r="C27" i="16" s="1"/>
  <c r="C29" i="16" s="1"/>
  <c r="B29" i="16"/>
  <c r="H74" i="16"/>
  <c r="H75" i="16" s="1"/>
  <c r="G74" i="16"/>
  <c r="G75" i="16" s="1"/>
  <c r="B74" i="16"/>
  <c r="S38" i="16" s="1"/>
  <c r="H72" i="16"/>
  <c r="G72" i="16"/>
  <c r="C72" i="16"/>
  <c r="C74" i="16" s="1"/>
  <c r="B72" i="16"/>
  <c r="H71" i="16"/>
  <c r="G71" i="16"/>
  <c r="H65" i="16"/>
  <c r="H66" i="16" s="1"/>
  <c r="G65" i="16"/>
  <c r="G66" i="16" s="1"/>
  <c r="B65" i="16"/>
  <c r="H63" i="16"/>
  <c r="G63" i="16"/>
  <c r="B63" i="16"/>
  <c r="H62" i="16"/>
  <c r="G62" i="16"/>
  <c r="H56" i="16"/>
  <c r="H57" i="16" s="1"/>
  <c r="G56" i="16"/>
  <c r="G57" i="16" s="1"/>
  <c r="B56" i="16"/>
  <c r="H54" i="16"/>
  <c r="G54" i="16"/>
  <c r="B54" i="16"/>
  <c r="H53" i="16"/>
  <c r="G53" i="16"/>
  <c r="H47" i="16"/>
  <c r="H48" i="16" s="1"/>
  <c r="G47" i="16"/>
  <c r="G48" i="16" s="1"/>
  <c r="B47" i="16"/>
  <c r="H45" i="16"/>
  <c r="G45" i="16"/>
  <c r="B45" i="16"/>
  <c r="H44" i="16"/>
  <c r="G44" i="16"/>
  <c r="H38" i="16"/>
  <c r="H39" i="16" s="1"/>
  <c r="G38" i="16"/>
  <c r="G39" i="16" s="1"/>
  <c r="B38" i="16"/>
  <c r="H36" i="16"/>
  <c r="G36" i="16"/>
  <c r="B36" i="16"/>
  <c r="H35" i="16"/>
  <c r="G35" i="16"/>
  <c r="H29" i="16"/>
  <c r="H30" i="16" s="1"/>
  <c r="G29" i="16"/>
  <c r="G30" i="16" s="1"/>
  <c r="H27" i="16"/>
  <c r="G27" i="16"/>
  <c r="B27" i="16"/>
  <c r="H26" i="16"/>
  <c r="G26" i="16"/>
  <c r="H19" i="16"/>
  <c r="H20" i="16" s="1"/>
  <c r="G19" i="16"/>
  <c r="G20" i="16" s="1"/>
  <c r="B19" i="16"/>
  <c r="H17" i="16"/>
  <c r="G17" i="16"/>
  <c r="B17" i="16"/>
  <c r="H16" i="16"/>
  <c r="G16" i="16"/>
  <c r="H9" i="16"/>
  <c r="H10" i="16" s="1"/>
  <c r="G9" i="16"/>
  <c r="G10" i="16" s="1"/>
  <c r="B9" i="16"/>
  <c r="H7" i="16"/>
  <c r="G7" i="16"/>
  <c r="B7" i="16"/>
  <c r="H6" i="16"/>
  <c r="G6" i="16"/>
  <c r="E49" i="16"/>
  <c r="C54" i="16" s="1"/>
  <c r="C56" i="16" s="1"/>
  <c r="H22" i="16"/>
  <c r="AB38" i="16"/>
  <c r="AB39" i="16"/>
  <c r="AB37" i="16"/>
  <c r="AB49" i="16"/>
  <c r="AB40" i="16"/>
  <c r="AB43" i="16"/>
  <c r="AB36" i="16"/>
  <c r="AB52" i="16"/>
  <c r="R38" i="16"/>
  <c r="R39" i="16"/>
  <c r="R37" i="16"/>
  <c r="R49" i="16"/>
  <c r="R40" i="16"/>
  <c r="R43" i="16"/>
  <c r="AD37" i="16"/>
  <c r="AD36" i="16"/>
  <c r="R36" i="16"/>
  <c r="R52" i="16"/>
  <c r="U21" i="16"/>
  <c r="V21" i="16" s="1"/>
  <c r="W21" i="16" s="1"/>
  <c r="X21" i="16" s="1"/>
  <c r="Y21" i="16" s="1"/>
  <c r="Z21" i="16" s="1"/>
  <c r="AA21" i="16" s="1"/>
  <c r="AB21" i="16" s="1"/>
  <c r="U20" i="16"/>
  <c r="V20" i="16" s="1"/>
  <c r="W20" i="16" s="1"/>
  <c r="X20" i="16" s="1"/>
  <c r="Y20" i="16" s="1"/>
  <c r="Z20" i="16" s="1"/>
  <c r="AA20" i="16" s="1"/>
  <c r="AB20" i="16" s="1"/>
  <c r="U19" i="16"/>
  <c r="V19" i="16" s="1"/>
  <c r="W19" i="16" s="1"/>
  <c r="X19" i="16" s="1"/>
  <c r="Y19" i="16" s="1"/>
  <c r="Z19" i="16" s="1"/>
  <c r="AA19" i="16" s="1"/>
  <c r="AB19" i="16" s="1"/>
  <c r="U18" i="16"/>
  <c r="V18" i="16" s="1"/>
  <c r="W18" i="16" s="1"/>
  <c r="X18" i="16" s="1"/>
  <c r="Y18" i="16" s="1"/>
  <c r="Z18" i="16" s="1"/>
  <c r="AA18" i="16" s="1"/>
  <c r="AB18" i="16" s="1"/>
  <c r="U17" i="16"/>
  <c r="U16" i="16"/>
  <c r="V16" i="16" s="1"/>
  <c r="W16" i="16" s="1"/>
  <c r="X16" i="16" s="1"/>
  <c r="Y16" i="16" s="1"/>
  <c r="Z16" i="16" s="1"/>
  <c r="AA16" i="16" s="1"/>
  <c r="AB16" i="16" s="1"/>
  <c r="U15" i="16"/>
  <c r="V15" i="16" s="1"/>
  <c r="W15" i="16" s="1"/>
  <c r="X15" i="16" s="1"/>
  <c r="Y15" i="16" s="1"/>
  <c r="Z15" i="16" s="1"/>
  <c r="AA15" i="16" s="1"/>
  <c r="AB15" i="16" s="1"/>
  <c r="U14" i="16"/>
  <c r="V14" i="16" s="1"/>
  <c r="W14" i="16" s="1"/>
  <c r="X14" i="16" s="1"/>
  <c r="Y14" i="16" s="1"/>
  <c r="Z14" i="16" s="1"/>
  <c r="AA14" i="16" s="1"/>
  <c r="AB14" i="16" s="1"/>
  <c r="AC10" i="16"/>
  <c r="AC9" i="16"/>
  <c r="AC8" i="16"/>
  <c r="AC7" i="16"/>
  <c r="AC6" i="16"/>
  <c r="AC5" i="16"/>
  <c r="AC4" i="16"/>
  <c r="AC3" i="16"/>
  <c r="F107" i="16" l="1"/>
  <c r="J107" i="16" s="1"/>
  <c r="K107" i="16" s="1"/>
  <c r="I108" i="16"/>
  <c r="Z39" i="16"/>
  <c r="X42" i="16"/>
  <c r="I6" i="16"/>
  <c r="D6" i="16" s="1"/>
  <c r="I16" i="16"/>
  <c r="D16" i="16" s="1"/>
  <c r="I89" i="16"/>
  <c r="D89" i="16" s="1"/>
  <c r="Z44" i="16"/>
  <c r="X39" i="16"/>
  <c r="I62" i="16"/>
  <c r="D62" i="16" s="1"/>
  <c r="C101" i="16"/>
  <c r="T42" i="16" s="1"/>
  <c r="I99" i="16"/>
  <c r="D99" i="16" s="1"/>
  <c r="D101" i="16" s="1"/>
  <c r="I71" i="16"/>
  <c r="D71" i="16" s="1"/>
  <c r="I44" i="16"/>
  <c r="D44" i="16" s="1"/>
  <c r="I98" i="16"/>
  <c r="E98" i="16" s="1"/>
  <c r="F98" i="16"/>
  <c r="C83" i="16"/>
  <c r="T41" i="16" s="1"/>
  <c r="I81" i="16"/>
  <c r="E81" i="16" s="1"/>
  <c r="E83" i="16" s="1"/>
  <c r="E89" i="16"/>
  <c r="X44" i="16"/>
  <c r="X41" i="16"/>
  <c r="I53" i="16"/>
  <c r="D53" i="16" s="1"/>
  <c r="I26" i="16"/>
  <c r="D26" i="16" s="1"/>
  <c r="I35" i="16"/>
  <c r="D35" i="16" s="1"/>
  <c r="I80" i="16"/>
  <c r="E80" i="16" s="1"/>
  <c r="I90" i="16"/>
  <c r="F89" i="16"/>
  <c r="J89" i="16" s="1"/>
  <c r="K89" i="16" s="1"/>
  <c r="I72" i="16"/>
  <c r="F62" i="16"/>
  <c r="I63" i="16"/>
  <c r="I54" i="16"/>
  <c r="I45" i="16"/>
  <c r="I36" i="16"/>
  <c r="I27" i="16"/>
  <c r="F26" i="16"/>
  <c r="E16" i="16"/>
  <c r="I17" i="16"/>
  <c r="F6" i="16"/>
  <c r="E6" i="16"/>
  <c r="I7" i="16"/>
  <c r="T38" i="16"/>
  <c r="Z38" i="16"/>
  <c r="X38" i="16"/>
  <c r="V17" i="16"/>
  <c r="S39" i="16"/>
  <c r="T37" i="16"/>
  <c r="S37" i="16"/>
  <c r="T49" i="16"/>
  <c r="S49" i="16"/>
  <c r="T40" i="16"/>
  <c r="S40" i="16"/>
  <c r="T43" i="16"/>
  <c r="S43" i="16"/>
  <c r="T52" i="16"/>
  <c r="S52" i="16"/>
  <c r="AF179" i="14"/>
  <c r="Y175" i="14"/>
  <c r="F108" i="16" l="1"/>
  <c r="F110" i="16" s="1"/>
  <c r="F111" i="16" s="1"/>
  <c r="E108" i="16"/>
  <c r="E110" i="16" s="1"/>
  <c r="E111" i="16" s="1"/>
  <c r="D108" i="16"/>
  <c r="E62" i="16"/>
  <c r="J62" i="16" s="1"/>
  <c r="K62" i="16" s="1"/>
  <c r="E71" i="16"/>
  <c r="F16" i="16"/>
  <c r="F99" i="16"/>
  <c r="F101" i="16" s="1"/>
  <c r="D98" i="16"/>
  <c r="J98" i="16" s="1"/>
  <c r="K98" i="16" s="1"/>
  <c r="D102" i="16"/>
  <c r="U42" i="16"/>
  <c r="F80" i="16"/>
  <c r="E44" i="16"/>
  <c r="D80" i="16"/>
  <c r="D81" i="16"/>
  <c r="D83" i="16" s="1"/>
  <c r="F44" i="16"/>
  <c r="E53" i="16"/>
  <c r="F71" i="16"/>
  <c r="J71" i="16" s="1"/>
  <c r="K71" i="16" s="1"/>
  <c r="E99" i="16"/>
  <c r="E101" i="16" s="1"/>
  <c r="F35" i="16"/>
  <c r="E26" i="16"/>
  <c r="J26" i="16" s="1"/>
  <c r="K26" i="16" s="1"/>
  <c r="E35" i="16"/>
  <c r="E84" i="16"/>
  <c r="V41" i="16"/>
  <c r="F53" i="16"/>
  <c r="F81" i="16"/>
  <c r="F83" i="16" s="1"/>
  <c r="F90" i="16"/>
  <c r="F92" i="16" s="1"/>
  <c r="D90" i="16"/>
  <c r="E90" i="16"/>
  <c r="E92" i="16" s="1"/>
  <c r="J16" i="16"/>
  <c r="K16" i="16" s="1"/>
  <c r="J6" i="16"/>
  <c r="K6" i="16" s="1"/>
  <c r="F72" i="16"/>
  <c r="F74" i="16" s="1"/>
  <c r="F75" i="16" s="1"/>
  <c r="D72" i="16"/>
  <c r="E72" i="16"/>
  <c r="E74" i="16" s="1"/>
  <c r="E75" i="16" s="1"/>
  <c r="F63" i="16"/>
  <c r="F65" i="16" s="1"/>
  <c r="W39" i="16" s="1"/>
  <c r="E63" i="16"/>
  <c r="E65" i="16" s="1"/>
  <c r="V39" i="16" s="1"/>
  <c r="D63" i="16"/>
  <c r="F54" i="16"/>
  <c r="F56" i="16" s="1"/>
  <c r="F57" i="16" s="1"/>
  <c r="E54" i="16"/>
  <c r="E56" i="16" s="1"/>
  <c r="E57" i="16" s="1"/>
  <c r="D54" i="16"/>
  <c r="F45" i="16"/>
  <c r="F47" i="16" s="1"/>
  <c r="F48" i="16" s="1"/>
  <c r="E45" i="16"/>
  <c r="E47" i="16" s="1"/>
  <c r="E48" i="16" s="1"/>
  <c r="D45" i="16"/>
  <c r="F36" i="16"/>
  <c r="F38" i="16" s="1"/>
  <c r="F39" i="16" s="1"/>
  <c r="E36" i="16"/>
  <c r="E38" i="16" s="1"/>
  <c r="E39" i="16" s="1"/>
  <c r="D36" i="16"/>
  <c r="F27" i="16"/>
  <c r="F29" i="16" s="1"/>
  <c r="F30" i="16" s="1"/>
  <c r="D27" i="16"/>
  <c r="E27" i="16"/>
  <c r="E29" i="16" s="1"/>
  <c r="E30" i="16" s="1"/>
  <c r="F17" i="16"/>
  <c r="F19" i="16" s="1"/>
  <c r="F20" i="16" s="1"/>
  <c r="E17" i="16"/>
  <c r="E19" i="16" s="1"/>
  <c r="E20" i="16" s="1"/>
  <c r="D17" i="16"/>
  <c r="F7" i="16"/>
  <c r="F9" i="16" s="1"/>
  <c r="F10" i="16" s="1"/>
  <c r="E7" i="16"/>
  <c r="E9" i="16" s="1"/>
  <c r="E10" i="16" s="1"/>
  <c r="D7" i="16"/>
  <c r="W17" i="16"/>
  <c r="X49" i="16"/>
  <c r="X36" i="16"/>
  <c r="X40" i="16"/>
  <c r="Z49" i="16"/>
  <c r="Z52" i="16"/>
  <c r="T36" i="16"/>
  <c r="Z37" i="16"/>
  <c r="Z36" i="16"/>
  <c r="X43" i="16"/>
  <c r="Z40" i="16"/>
  <c r="X52" i="16"/>
  <c r="S36" i="16"/>
  <c r="U13" i="16"/>
  <c r="Z43" i="16"/>
  <c r="X37" i="16"/>
  <c r="D110" i="16" l="1"/>
  <c r="J108" i="16"/>
  <c r="K108" i="16" s="1"/>
  <c r="J83" i="16"/>
  <c r="AA41" i="16" s="1"/>
  <c r="J80" i="16"/>
  <c r="K80" i="16" s="1"/>
  <c r="E102" i="16"/>
  <c r="L101" i="16" s="1"/>
  <c r="V42" i="16"/>
  <c r="U41" i="16"/>
  <c r="J53" i="16"/>
  <c r="K53" i="16" s="1"/>
  <c r="D84" i="16"/>
  <c r="J44" i="16"/>
  <c r="K44" i="16" s="1"/>
  <c r="F102" i="16"/>
  <c r="W42" i="16"/>
  <c r="E66" i="16"/>
  <c r="F66" i="16"/>
  <c r="J99" i="16"/>
  <c r="K99" i="16" s="1"/>
  <c r="J81" i="16"/>
  <c r="K81" i="16" s="1"/>
  <c r="J35" i="16"/>
  <c r="K35" i="16" s="1"/>
  <c r="J101" i="16"/>
  <c r="AA42" i="16" s="1"/>
  <c r="E93" i="16"/>
  <c r="V44" i="16"/>
  <c r="X17" i="16"/>
  <c r="F93" i="16"/>
  <c r="W44" i="16"/>
  <c r="F84" i="16"/>
  <c r="W41" i="16"/>
  <c r="D92" i="16"/>
  <c r="U44" i="16" s="1"/>
  <c r="J90" i="16"/>
  <c r="K90" i="16" s="1"/>
  <c r="W38" i="16"/>
  <c r="D74" i="16"/>
  <c r="J72" i="16"/>
  <c r="K72" i="16" s="1"/>
  <c r="D65" i="16"/>
  <c r="U39" i="16" s="1"/>
  <c r="J63" i="16"/>
  <c r="K63" i="16" s="1"/>
  <c r="D56" i="16"/>
  <c r="J54" i="16"/>
  <c r="K54" i="16" s="1"/>
  <c r="D47" i="16"/>
  <c r="J45" i="16"/>
  <c r="K45" i="16" s="1"/>
  <c r="D38" i="16"/>
  <c r="J36" i="16"/>
  <c r="K36" i="16" s="1"/>
  <c r="D29" i="16"/>
  <c r="J27" i="16"/>
  <c r="K27" i="16" s="1"/>
  <c r="D19" i="16"/>
  <c r="J17" i="16"/>
  <c r="K17" i="16" s="1"/>
  <c r="D9" i="16"/>
  <c r="J7" i="16"/>
  <c r="K7" i="16" s="1"/>
  <c r="V38" i="16"/>
  <c r="V13" i="16"/>
  <c r="V36" i="16"/>
  <c r="W40" i="16"/>
  <c r="W49" i="16"/>
  <c r="W37" i="16"/>
  <c r="V40" i="16"/>
  <c r="W36" i="16"/>
  <c r="V49" i="16"/>
  <c r="D111" i="16" l="1"/>
  <c r="L110" i="16" s="1"/>
  <c r="L103" i="16" s="1"/>
  <c r="J110" i="16"/>
  <c r="L83" i="16"/>
  <c r="L94" i="16"/>
  <c r="AC42" i="16" s="1"/>
  <c r="Y17" i="16"/>
  <c r="D93" i="16"/>
  <c r="J92" i="16"/>
  <c r="AA44" i="16" s="1"/>
  <c r="L76" i="16"/>
  <c r="AC41" i="16" s="1"/>
  <c r="D75" i="16"/>
  <c r="J74" i="16"/>
  <c r="AA38" i="16" s="1"/>
  <c r="D66" i="16"/>
  <c r="J65" i="16"/>
  <c r="AA39" i="16" s="1"/>
  <c r="D57" i="16"/>
  <c r="J56" i="16"/>
  <c r="AA37" i="16" s="1"/>
  <c r="D48" i="16"/>
  <c r="J47" i="16"/>
  <c r="AA49" i="16" s="1"/>
  <c r="D39" i="16"/>
  <c r="J38" i="16"/>
  <c r="AA40" i="16" s="1"/>
  <c r="D30" i="16"/>
  <c r="J29" i="16"/>
  <c r="D20" i="16"/>
  <c r="J19" i="16"/>
  <c r="AA36" i="16" s="1"/>
  <c r="D10" i="16"/>
  <c r="J9" i="16"/>
  <c r="U38" i="16"/>
  <c r="U37" i="16"/>
  <c r="U40" i="16"/>
  <c r="V43" i="16"/>
  <c r="V37" i="16"/>
  <c r="U36" i="16"/>
  <c r="W52" i="16"/>
  <c r="U49" i="16"/>
  <c r="V52" i="16"/>
  <c r="W43" i="16"/>
  <c r="U43" i="16"/>
  <c r="U52" i="16"/>
  <c r="Z17" i="16" l="1"/>
  <c r="L22" i="16"/>
  <c r="AC43" i="16" s="1"/>
  <c r="L29" i="16"/>
  <c r="L67" i="16"/>
  <c r="AC38" i="16" s="1"/>
  <c r="L74" i="16"/>
  <c r="L58" i="16"/>
  <c r="AC39" i="16" s="1"/>
  <c r="L65" i="16"/>
  <c r="L49" i="16"/>
  <c r="L56" i="16"/>
  <c r="L40" i="16"/>
  <c r="AC49" i="16" s="1"/>
  <c r="L47" i="16"/>
  <c r="L31" i="16"/>
  <c r="AC40" i="16" s="1"/>
  <c r="L38" i="16"/>
  <c r="L12" i="16"/>
  <c r="AC36" i="16" s="1"/>
  <c r="L19" i="16"/>
  <c r="L2" i="16"/>
  <c r="AC52" i="16" s="1"/>
  <c r="L9" i="16"/>
  <c r="L85" i="16"/>
  <c r="AC44" i="16" s="1"/>
  <c r="L92" i="16"/>
  <c r="AC2" i="16"/>
  <c r="W13" i="16"/>
  <c r="X13" i="16" s="1"/>
  <c r="Y13" i="16" s="1"/>
  <c r="Z13" i="16" s="1"/>
  <c r="AA13" i="16" s="1"/>
  <c r="AB13" i="16" s="1"/>
  <c r="AA43" i="16"/>
  <c r="AA52" i="16"/>
  <c r="AA17" i="16" l="1"/>
  <c r="AC37" i="16"/>
  <c r="AB17" i="16"/>
  <c r="AC33" i="16"/>
  <c r="AC32" i="16"/>
  <c r="AC29" i="16"/>
  <c r="AC28" i="16"/>
  <c r="AC25" i="16"/>
  <c r="AD175" i="14"/>
  <c r="AC175" i="14"/>
  <c r="AC174" i="14"/>
  <c r="AD177" i="14"/>
  <c r="AD178" i="14" s="1"/>
  <c r="AD174" i="14"/>
  <c r="AC177" i="14"/>
  <c r="AC178" i="14" s="1"/>
  <c r="Y177" i="14"/>
  <c r="X177" i="14"/>
  <c r="Q167" i="14"/>
  <c r="Q166" i="14"/>
  <c r="Q163" i="14"/>
  <c r="Q162" i="14"/>
  <c r="AC163" i="14"/>
  <c r="AE163" i="14"/>
  <c r="X163" i="14"/>
  <c r="X164" i="14" s="1"/>
  <c r="X165" i="14" s="1"/>
  <c r="AP45" i="14"/>
  <c r="V157" i="14"/>
  <c r="Y144" i="14" s="1"/>
  <c r="AE145" i="14"/>
  <c r="AE148" i="14" s="1"/>
  <c r="AD145" i="14"/>
  <c r="AD148" i="14" s="1"/>
  <c r="AO34" i="14"/>
  <c r="AP34" i="14" s="1"/>
  <c r="AQ34" i="14" s="1"/>
  <c r="AR34" i="14" s="1"/>
  <c r="AS34" i="14" s="1"/>
  <c r="AT34" i="14" s="1"/>
  <c r="AU34" i="14" s="1"/>
  <c r="AV34" i="14" s="1"/>
  <c r="Y132" i="14"/>
  <c r="Y133" i="14" s="1"/>
  <c r="AE127" i="14"/>
  <c r="AE130" i="14" s="1"/>
  <c r="AD127" i="14"/>
  <c r="AD130" i="14" s="1"/>
  <c r="AA126" i="14"/>
  <c r="Y126" i="14"/>
  <c r="AO46" i="14"/>
  <c r="AP46" i="14"/>
  <c r="AQ46" i="14"/>
  <c r="AR46" i="14"/>
  <c r="AS46" i="14"/>
  <c r="AT46" i="14"/>
  <c r="AU46" i="14"/>
  <c r="AO47" i="14"/>
  <c r="AP47" i="14"/>
  <c r="AQ47" i="14"/>
  <c r="AR47" i="14"/>
  <c r="AS47" i="14"/>
  <c r="AT47" i="14"/>
  <c r="AU47" i="14"/>
  <c r="AO48" i="14"/>
  <c r="AP48" i="14"/>
  <c r="AQ48" i="14"/>
  <c r="AR48" i="14"/>
  <c r="AS48" i="14"/>
  <c r="AT48" i="14"/>
  <c r="AU48" i="14"/>
  <c r="AO49" i="14"/>
  <c r="AP49" i="14"/>
  <c r="AQ49" i="14"/>
  <c r="AR49" i="14"/>
  <c r="AS49" i="14"/>
  <c r="AT49" i="14"/>
  <c r="AU49" i="14"/>
  <c r="AO45" i="14"/>
  <c r="AQ45" i="14"/>
  <c r="AR45" i="14"/>
  <c r="AS45" i="14"/>
  <c r="AT45" i="14"/>
  <c r="AU45" i="14"/>
  <c r="AO44" i="14"/>
  <c r="AP44" i="14"/>
  <c r="AQ44" i="14"/>
  <c r="AR44" i="14"/>
  <c r="AS44" i="14"/>
  <c r="AT44" i="14"/>
  <c r="AU44" i="14"/>
  <c r="AO43" i="14"/>
  <c r="AP43" i="14"/>
  <c r="AQ43" i="14"/>
  <c r="AR43" i="14"/>
  <c r="AS43" i="14"/>
  <c r="AT43" i="14"/>
  <c r="AU43" i="14"/>
  <c r="AO42" i="14"/>
  <c r="AP42" i="14"/>
  <c r="AQ42" i="14"/>
  <c r="AR42" i="14"/>
  <c r="AS42" i="14"/>
  <c r="AT42" i="14"/>
  <c r="AU42" i="14"/>
  <c r="AP41" i="14"/>
  <c r="AQ41" i="14"/>
  <c r="AR41" i="14"/>
  <c r="AS41" i="14"/>
  <c r="AT41" i="14"/>
  <c r="AU41" i="14"/>
  <c r="AO41" i="14"/>
  <c r="Y114" i="14"/>
  <c r="Y115" i="14" s="1"/>
  <c r="AE109" i="14"/>
  <c r="AE112" i="14" s="1"/>
  <c r="AD109" i="14"/>
  <c r="AD112" i="14" s="1"/>
  <c r="AA108" i="14"/>
  <c r="Y108" i="14"/>
  <c r="F75" i="15"/>
  <c r="M67" i="15"/>
  <c r="L67" i="15"/>
  <c r="K67" i="15"/>
  <c r="J66" i="15"/>
  <c r="I66" i="15"/>
  <c r="J64" i="15"/>
  <c r="I64" i="15"/>
  <c r="R63" i="15"/>
  <c r="K63" i="15"/>
  <c r="F61" i="15"/>
  <c r="N66" i="15" s="1"/>
  <c r="N67" i="15" s="1"/>
  <c r="O60" i="15"/>
  <c r="N60" i="15"/>
  <c r="K54" i="15"/>
  <c r="J54" i="15"/>
  <c r="I54" i="15"/>
  <c r="H54" i="15"/>
  <c r="J50" i="15"/>
  <c r="J49" i="15"/>
  <c r="L49" i="15" s="1"/>
  <c r="P50" i="15" s="1"/>
  <c r="E46" i="15"/>
  <c r="E47" i="15" s="1"/>
  <c r="E53" i="15" s="1"/>
  <c r="L36" i="15"/>
  <c r="K36" i="15"/>
  <c r="J36" i="15"/>
  <c r="I36" i="15"/>
  <c r="H36" i="15"/>
  <c r="J32" i="15"/>
  <c r="J31" i="15"/>
  <c r="E31" i="15" s="1"/>
  <c r="G31" i="15" s="1"/>
  <c r="E28" i="15"/>
  <c r="E29" i="15" s="1"/>
  <c r="E35" i="15" s="1"/>
  <c r="D19" i="15"/>
  <c r="D18" i="15"/>
  <c r="K14" i="15"/>
  <c r="J14" i="15"/>
  <c r="I14" i="15"/>
  <c r="H14" i="15"/>
  <c r="J10" i="15"/>
  <c r="J9" i="15"/>
  <c r="L9" i="15" s="1"/>
  <c r="P10" i="15" s="1"/>
  <c r="E6" i="15"/>
  <c r="E7" i="15" s="1"/>
  <c r="AO36" i="14"/>
  <c r="AP36" i="14" s="1"/>
  <c r="AQ36" i="14" s="1"/>
  <c r="AR36" i="14" s="1"/>
  <c r="AS36" i="14" s="1"/>
  <c r="AT36" i="14" s="1"/>
  <c r="AU36" i="14" s="1"/>
  <c r="AV36" i="14" s="1"/>
  <c r="AO37" i="14"/>
  <c r="AP37" i="14" s="1"/>
  <c r="AQ37" i="14" s="1"/>
  <c r="AR37" i="14" s="1"/>
  <c r="AS37" i="14" s="1"/>
  <c r="AT37" i="14" s="1"/>
  <c r="AU37" i="14" s="1"/>
  <c r="AV37" i="14" s="1"/>
  <c r="AO35" i="14"/>
  <c r="AP35" i="14" s="1"/>
  <c r="AQ35" i="14" s="1"/>
  <c r="AR35" i="14" s="1"/>
  <c r="AS35" i="14" s="1"/>
  <c r="AT35" i="14" s="1"/>
  <c r="AU35" i="14" s="1"/>
  <c r="AV35" i="14" s="1"/>
  <c r="AO33" i="14"/>
  <c r="AP33" i="14" s="1"/>
  <c r="AQ33" i="14" s="1"/>
  <c r="AR33" i="14" s="1"/>
  <c r="AS33" i="14" s="1"/>
  <c r="AT33" i="14" s="1"/>
  <c r="AU33" i="14" s="1"/>
  <c r="AV33" i="14" s="1"/>
  <c r="AO32" i="14"/>
  <c r="AP32" i="14" s="1"/>
  <c r="AQ32" i="14" s="1"/>
  <c r="AR32" i="14" s="1"/>
  <c r="AS32" i="14" s="1"/>
  <c r="AT32" i="14" s="1"/>
  <c r="AU32" i="14" s="1"/>
  <c r="AV32" i="14" s="1"/>
  <c r="AO31" i="14"/>
  <c r="AP31" i="14" s="1"/>
  <c r="AQ31" i="14" s="1"/>
  <c r="AR31" i="14" s="1"/>
  <c r="AS31" i="14" s="1"/>
  <c r="AT31" i="14" s="1"/>
  <c r="AU31" i="14" s="1"/>
  <c r="AV31" i="14" s="1"/>
  <c r="AO30" i="14"/>
  <c r="AP30" i="14" s="1"/>
  <c r="AQ30" i="14" s="1"/>
  <c r="AO29" i="14"/>
  <c r="AP29" i="14" s="1"/>
  <c r="AQ29" i="14" s="1"/>
  <c r="AR29" i="14" s="1"/>
  <c r="AS29" i="14" s="1"/>
  <c r="AT29" i="14" s="1"/>
  <c r="AU29" i="14" s="1"/>
  <c r="AV29" i="14" s="1"/>
  <c r="AW26" i="14"/>
  <c r="AW25" i="14"/>
  <c r="AW24" i="14"/>
  <c r="AW23" i="14"/>
  <c r="AW22" i="14"/>
  <c r="AW21" i="14"/>
  <c r="AW20" i="14"/>
  <c r="AW19" i="14"/>
  <c r="AW18" i="14"/>
  <c r="Y96" i="14"/>
  <c r="Y97" i="14" s="1"/>
  <c r="AE91" i="14"/>
  <c r="AE94" i="14" s="1"/>
  <c r="AD91" i="14"/>
  <c r="AD94" i="14" s="1"/>
  <c r="AA90" i="14"/>
  <c r="Y90" i="14"/>
  <c r="Y78" i="14"/>
  <c r="Y79" i="14" s="1"/>
  <c r="AE73" i="14"/>
  <c r="AE76" i="14" s="1"/>
  <c r="AD73" i="14"/>
  <c r="AD76" i="14" s="1"/>
  <c r="AA72" i="14"/>
  <c r="Y72" i="14"/>
  <c r="Y60" i="14"/>
  <c r="Y61" i="14" s="1"/>
  <c r="AD55" i="14"/>
  <c r="AD58" i="14" s="1"/>
  <c r="AE55" i="14"/>
  <c r="AE56" i="14" s="1"/>
  <c r="AA54" i="14"/>
  <c r="Y54" i="14"/>
  <c r="Y47" i="14"/>
  <c r="Y48" i="14" s="1"/>
  <c r="AE42" i="14"/>
  <c r="AE45" i="14" s="1"/>
  <c r="AD42" i="14"/>
  <c r="AD45" i="14" s="1"/>
  <c r="AA41" i="14"/>
  <c r="Y41" i="14"/>
  <c r="AA23" i="14"/>
  <c r="Y23" i="14"/>
  <c r="Y29" i="14"/>
  <c r="Y30" i="14" s="1"/>
  <c r="AD24" i="14"/>
  <c r="AD27" i="14" s="1"/>
  <c r="AE24" i="14"/>
  <c r="AE27" i="14" s="1"/>
  <c r="AC6" i="14"/>
  <c r="X5" i="14"/>
  <c r="AC7" i="14" s="1"/>
  <c r="AC8" i="14" s="1"/>
  <c r="AI4" i="14"/>
  <c r="AI5" i="14" s="1"/>
  <c r="AI7" i="14" s="1"/>
  <c r="AI8" i="14" s="1"/>
  <c r="AH4" i="14"/>
  <c r="AH5" i="14" s="1"/>
  <c r="L28" i="14"/>
  <c r="L15" i="14"/>
  <c r="M15" i="14" s="1"/>
  <c r="N15" i="14" s="1"/>
  <c r="O15" i="14" s="1"/>
  <c r="P15" i="14" s="1"/>
  <c r="Q15" i="14" s="1"/>
  <c r="R15" i="14" s="1"/>
  <c r="S15" i="14" s="1"/>
  <c r="L16" i="14"/>
  <c r="M16" i="14" s="1"/>
  <c r="N16" i="14" s="1"/>
  <c r="O16" i="14" s="1"/>
  <c r="P16" i="14" s="1"/>
  <c r="Q16" i="14" s="1"/>
  <c r="R16" i="14" s="1"/>
  <c r="S16" i="14" s="1"/>
  <c r="L17" i="14"/>
  <c r="M17" i="14" s="1"/>
  <c r="N17" i="14" s="1"/>
  <c r="O17" i="14" s="1"/>
  <c r="P17" i="14" s="1"/>
  <c r="Q17" i="14" s="1"/>
  <c r="R17" i="14" s="1"/>
  <c r="S17" i="14" s="1"/>
  <c r="L18" i="14"/>
  <c r="M18" i="14" s="1"/>
  <c r="N18" i="14" s="1"/>
  <c r="O18" i="14" s="1"/>
  <c r="P18" i="14" s="1"/>
  <c r="Q18" i="14" s="1"/>
  <c r="R18" i="14" s="1"/>
  <c r="S18" i="14" s="1"/>
  <c r="L19" i="14"/>
  <c r="M19" i="14" s="1"/>
  <c r="N19" i="14" s="1"/>
  <c r="O19" i="14" s="1"/>
  <c r="P19" i="14" s="1"/>
  <c r="Q19" i="14" s="1"/>
  <c r="R19" i="14" s="1"/>
  <c r="S19" i="14" s="1"/>
  <c r="L20" i="14"/>
  <c r="M20" i="14" s="1"/>
  <c r="N20" i="14" s="1"/>
  <c r="O20" i="14" s="1"/>
  <c r="P20" i="14" s="1"/>
  <c r="Q20" i="14" s="1"/>
  <c r="R20" i="14" s="1"/>
  <c r="S20" i="14" s="1"/>
  <c r="L21" i="14"/>
  <c r="M21" i="14" s="1"/>
  <c r="N21" i="14" s="1"/>
  <c r="O21" i="14" s="1"/>
  <c r="P21" i="14" s="1"/>
  <c r="Q21" i="14" s="1"/>
  <c r="R21" i="14" s="1"/>
  <c r="S21" i="14" s="1"/>
  <c r="L22" i="14"/>
  <c r="M22" i="14" s="1"/>
  <c r="N22" i="14" s="1"/>
  <c r="O22" i="14" s="1"/>
  <c r="P22" i="14" s="1"/>
  <c r="Q22" i="14" s="1"/>
  <c r="R22" i="14" s="1"/>
  <c r="S22" i="14" s="1"/>
  <c r="L14" i="14"/>
  <c r="M14" i="14" s="1"/>
  <c r="N14" i="14" s="1"/>
  <c r="O14" i="14" s="1"/>
  <c r="P14" i="14" s="1"/>
  <c r="Q14" i="14" s="1"/>
  <c r="R14" i="14" s="1"/>
  <c r="S14" i="14" s="1"/>
  <c r="D14" i="14"/>
  <c r="E14" i="14"/>
  <c r="F14" i="14"/>
  <c r="G14" i="14"/>
  <c r="H14" i="14"/>
  <c r="D15" i="14"/>
  <c r="E15" i="14"/>
  <c r="F15" i="14"/>
  <c r="G15" i="14"/>
  <c r="H15" i="14"/>
  <c r="D16" i="14"/>
  <c r="E16" i="14"/>
  <c r="F16" i="14"/>
  <c r="G16" i="14"/>
  <c r="H16" i="14"/>
  <c r="D17" i="14"/>
  <c r="E17" i="14"/>
  <c r="F17" i="14"/>
  <c r="G17" i="14"/>
  <c r="H17" i="14"/>
  <c r="E13" i="14"/>
  <c r="F13" i="14"/>
  <c r="G13" i="14"/>
  <c r="H13" i="14"/>
  <c r="D13" i="14"/>
  <c r="T11" i="14"/>
  <c r="T10" i="14"/>
  <c r="T9" i="14"/>
  <c r="T8" i="14"/>
  <c r="T7" i="14"/>
  <c r="T6" i="14"/>
  <c r="T5" i="14"/>
  <c r="T4" i="14"/>
  <c r="T3" i="14"/>
  <c r="AC31" i="16" l="1"/>
  <c r="AC30" i="16"/>
  <c r="AC26" i="16"/>
  <c r="AC27" i="16"/>
  <c r="AE175" i="14"/>
  <c r="AB175" i="14" s="1"/>
  <c r="Q164" i="14"/>
  <c r="AE174" i="14"/>
  <c r="Q168" i="14"/>
  <c r="Z175" i="14"/>
  <c r="Z177" i="14" s="1"/>
  <c r="Z178" i="14" s="1"/>
  <c r="AB177" i="14"/>
  <c r="AB178" i="14" s="1"/>
  <c r="AA175" i="14"/>
  <c r="AA177" i="14" s="1"/>
  <c r="AA178" i="14" s="1"/>
  <c r="Q170" i="14"/>
  <c r="AD146" i="14"/>
  <c r="AA144" i="14"/>
  <c r="AE151" i="14" s="1"/>
  <c r="AE152" i="14" s="1"/>
  <c r="Z133" i="14"/>
  <c r="Z134" i="14" s="1"/>
  <c r="AE146" i="14"/>
  <c r="Y150" i="14"/>
  <c r="Y151" i="14" s="1"/>
  <c r="AD151" i="14"/>
  <c r="AD152" i="14" s="1"/>
  <c r="AW49" i="14"/>
  <c r="AD133" i="14"/>
  <c r="AD134" i="14" s="1"/>
  <c r="AE133" i="14"/>
  <c r="AE134" i="14" s="1"/>
  <c r="AW48" i="14"/>
  <c r="AW45" i="14"/>
  <c r="AW42" i="14"/>
  <c r="AW41" i="14"/>
  <c r="AW43" i="14"/>
  <c r="AD128" i="14"/>
  <c r="Y134" i="14"/>
  <c r="AE128" i="14"/>
  <c r="AW47" i="14"/>
  <c r="AW46" i="14"/>
  <c r="AW44" i="14"/>
  <c r="AD110" i="14"/>
  <c r="AE110" i="14"/>
  <c r="AR30" i="14"/>
  <c r="AS30" i="14" s="1"/>
  <c r="AT30" i="14" s="1"/>
  <c r="AU30" i="14" s="1"/>
  <c r="AV30" i="14" s="1"/>
  <c r="Z115" i="14"/>
  <c r="Z116" i="14" s="1"/>
  <c r="AD115" i="14"/>
  <c r="AD116" i="14" s="1"/>
  <c r="AE115" i="14"/>
  <c r="AE116" i="14" s="1"/>
  <c r="Y116" i="14"/>
  <c r="F35" i="15"/>
  <c r="K65" i="15"/>
  <c r="O64" i="15" s="1"/>
  <c r="O66" i="15"/>
  <c r="O67" i="15" s="1"/>
  <c r="Q67" i="15" s="1"/>
  <c r="L31" i="15"/>
  <c r="M54" i="15"/>
  <c r="M14" i="15"/>
  <c r="E49" i="15"/>
  <c r="G49" i="15" s="1"/>
  <c r="P49" i="15" s="1"/>
  <c r="Q66" i="15"/>
  <c r="P13" i="15"/>
  <c r="E13" i="15"/>
  <c r="P8" i="15"/>
  <c r="F53" i="15"/>
  <c r="P53" i="15"/>
  <c r="V60" i="15"/>
  <c r="M64" i="15"/>
  <c r="E9" i="15"/>
  <c r="G9" i="15" s="1"/>
  <c r="F13" i="15" s="1"/>
  <c r="P48" i="15"/>
  <c r="K64" i="15"/>
  <c r="AD30" i="14"/>
  <c r="AD31" i="14" s="1"/>
  <c r="AD97" i="14"/>
  <c r="AD98" i="14" s="1"/>
  <c r="AE97" i="14"/>
  <c r="AE98" i="14" s="1"/>
  <c r="AD48" i="14"/>
  <c r="AD49" i="14" s="1"/>
  <c r="AD79" i="14"/>
  <c r="AD80" i="14" s="1"/>
  <c r="Z97" i="14"/>
  <c r="Z98" i="14" s="1"/>
  <c r="AD92" i="14"/>
  <c r="AE25" i="14"/>
  <c r="AE48" i="14"/>
  <c r="AE49" i="14" s="1"/>
  <c r="AE58" i="14"/>
  <c r="AE61" i="14" s="1"/>
  <c r="AE62" i="14" s="1"/>
  <c r="AE79" i="14"/>
  <c r="AE80" i="14" s="1"/>
  <c r="AF5" i="14"/>
  <c r="AE92" i="14"/>
  <c r="Y98" i="14"/>
  <c r="AE30" i="14"/>
  <c r="AE31" i="14" s="1"/>
  <c r="Z48" i="14"/>
  <c r="Z49" i="14" s="1"/>
  <c r="AD43" i="14"/>
  <c r="AD56" i="14"/>
  <c r="AA56" i="14" s="1"/>
  <c r="Z79" i="14"/>
  <c r="Z80" i="14" s="1"/>
  <c r="AD74" i="14"/>
  <c r="Z61" i="14"/>
  <c r="Z62" i="14" s="1"/>
  <c r="Y80" i="14"/>
  <c r="AE74" i="14"/>
  <c r="AD61" i="14"/>
  <c r="AD62" i="14" s="1"/>
  <c r="Y62" i="14"/>
  <c r="Y49" i="14"/>
  <c r="AE43" i="14"/>
  <c r="Y31" i="14"/>
  <c r="Z30" i="14"/>
  <c r="Z31" i="14" s="1"/>
  <c r="AD25" i="14"/>
  <c r="AD7" i="14"/>
  <c r="AD8" i="14" s="1"/>
  <c r="AH7" i="14"/>
  <c r="AH8" i="14" s="1"/>
  <c r="AE5" i="14"/>
  <c r="AG5" i="14"/>
  <c r="J28" i="14"/>
  <c r="AF178" i="14" l="1"/>
  <c r="AA174" i="14"/>
  <c r="Z174" i="14"/>
  <c r="AB174" i="14"/>
  <c r="AF177" i="14"/>
  <c r="AA146" i="14"/>
  <c r="AA148" i="14" s="1"/>
  <c r="AA151" i="14" s="1"/>
  <c r="Z151" i="14"/>
  <c r="Z152" i="14" s="1"/>
  <c r="Y152" i="14"/>
  <c r="AB148" i="14"/>
  <c r="AB151" i="14" s="1"/>
  <c r="AB152" i="14" s="1"/>
  <c r="AC148" i="14"/>
  <c r="AC151" i="14" s="1"/>
  <c r="AC152" i="14" s="1"/>
  <c r="AA128" i="14"/>
  <c r="AC130" i="14" s="1"/>
  <c r="AC133" i="14" s="1"/>
  <c r="AC134" i="14" s="1"/>
  <c r="AA110" i="14"/>
  <c r="N64" i="15"/>
  <c r="L64" i="15"/>
  <c r="P9" i="15"/>
  <c r="AA25" i="14"/>
  <c r="AC27" i="14" s="1"/>
  <c r="AC30" i="14" s="1"/>
  <c r="AC31" i="14" s="1"/>
  <c r="AA43" i="14"/>
  <c r="AB45" i="14" s="1"/>
  <c r="AB48" i="14" s="1"/>
  <c r="AB49" i="14" s="1"/>
  <c r="AA74" i="14"/>
  <c r="AA76" i="14" s="1"/>
  <c r="AA79" i="14" s="1"/>
  <c r="AA92" i="14"/>
  <c r="AC94" i="14" s="1"/>
  <c r="AC97" i="14" s="1"/>
  <c r="AC98" i="14" s="1"/>
  <c r="AB58" i="14"/>
  <c r="AB61" i="14" s="1"/>
  <c r="AB62" i="14" s="1"/>
  <c r="AA58" i="14"/>
  <c r="AA61" i="14" s="1"/>
  <c r="AC58" i="14"/>
  <c r="AC61" i="14" s="1"/>
  <c r="AC62" i="14" s="1"/>
  <c r="AE7" i="14"/>
  <c r="AG7" i="14"/>
  <c r="AG8" i="14" s="1"/>
  <c r="AF7" i="14"/>
  <c r="AF8" i="14" s="1"/>
  <c r="AA130" i="14" l="1"/>
  <c r="AA133" i="14" s="1"/>
  <c r="AB130" i="14"/>
  <c r="AB133" i="14" s="1"/>
  <c r="AB134" i="14" s="1"/>
  <c r="AA152" i="14"/>
  <c r="AH152" i="14" s="1"/>
  <c r="AH151" i="14"/>
  <c r="AB27" i="14"/>
  <c r="AB30" i="14" s="1"/>
  <c r="AB31" i="14" s="1"/>
  <c r="AA27" i="14"/>
  <c r="AA30" i="14" s="1"/>
  <c r="AA31" i="14" s="1"/>
  <c r="AA134" i="14"/>
  <c r="AH134" i="14" s="1"/>
  <c r="AH133" i="14"/>
  <c r="AA45" i="14"/>
  <c r="AA48" i="14" s="1"/>
  <c r="AA49" i="14" s="1"/>
  <c r="AC45" i="14"/>
  <c r="AC48" i="14" s="1"/>
  <c r="AC49" i="14" s="1"/>
  <c r="AA112" i="14"/>
  <c r="AA115" i="14" s="1"/>
  <c r="AC112" i="14"/>
  <c r="AC115" i="14" s="1"/>
  <c r="AC116" i="14" s="1"/>
  <c r="AB112" i="14"/>
  <c r="AB115" i="14" s="1"/>
  <c r="AB116" i="14" s="1"/>
  <c r="AC76" i="14"/>
  <c r="AC79" i="14" s="1"/>
  <c r="AC80" i="14" s="1"/>
  <c r="AB94" i="14"/>
  <c r="AB97" i="14" s="1"/>
  <c r="AB98" i="14" s="1"/>
  <c r="AB76" i="14"/>
  <c r="AB79" i="14" s="1"/>
  <c r="AB80" i="14" s="1"/>
  <c r="AA94" i="14"/>
  <c r="AA97" i="14" s="1"/>
  <c r="AA98" i="14" s="1"/>
  <c r="AH31" i="14"/>
  <c r="AA80" i="14"/>
  <c r="AA62" i="14"/>
  <c r="AH62" i="14" s="1"/>
  <c r="AH61" i="14"/>
  <c r="AH30" i="14"/>
  <c r="AE8" i="14"/>
  <c r="AK8" i="14" s="1"/>
  <c r="AK7" i="14"/>
  <c r="AH49" i="14" l="1"/>
  <c r="AH48" i="14"/>
  <c r="AA116" i="14"/>
  <c r="AH116" i="14" s="1"/>
  <c r="AH115" i="14"/>
  <c r="AH98" i="14"/>
  <c r="AH80" i="14"/>
  <c r="AH97" i="14"/>
  <c r="AH79" i="14"/>
  <c r="S29" i="1" l="1"/>
  <c r="F29" i="1"/>
  <c r="O8" i="1"/>
  <c r="P8" i="1"/>
  <c r="Q8" i="1"/>
  <c r="Q7" i="1"/>
  <c r="P7" i="1"/>
  <c r="O7" i="1"/>
  <c r="T29" i="1" l="1"/>
  <c r="O3" i="1"/>
  <c r="G3" i="1"/>
  <c r="K4" i="1"/>
  <c r="J2" i="1"/>
  <c r="P19" i="1" l="1"/>
  <c r="T19" i="1" s="1"/>
  <c r="P20" i="1"/>
  <c r="T20" i="1" s="1"/>
  <c r="P21" i="1"/>
  <c r="T21" i="1" s="1"/>
  <c r="P22" i="1"/>
  <c r="T22" i="1" s="1"/>
  <c r="P23" i="1"/>
  <c r="T23" i="1" s="1"/>
  <c r="P24" i="1"/>
  <c r="P25" i="1"/>
  <c r="T25" i="1" s="1"/>
  <c r="P26" i="1"/>
  <c r="T26" i="1" s="1"/>
  <c r="P27" i="1"/>
  <c r="P28" i="1"/>
  <c r="P18" i="1"/>
  <c r="T18" i="1" s="1"/>
  <c r="R8" i="1" l="1"/>
  <c r="T24" i="1"/>
  <c r="R7" i="1"/>
  <c r="P29" i="1"/>
  <c r="K5" i="1" s="1"/>
  <c r="T27" i="1"/>
  <c r="T28" i="1"/>
  <c r="AF174" i="14"/>
  <c r="AG174" i="14" s="1"/>
  <c r="AF175" i="14" l="1"/>
  <c r="AG175" i="14" s="1"/>
  <c r="U47" i="2" l="1"/>
  <c r="U44" i="2" l="1"/>
  <c r="U40" i="2"/>
  <c r="U43" i="2" l="1"/>
  <c r="U48" i="2"/>
  <c r="U45" i="2"/>
  <c r="U41" i="2"/>
  <c r="U42" i="2"/>
  <c r="U46" i="2"/>
</calcChain>
</file>

<file path=xl/sharedStrings.xml><?xml version="1.0" encoding="utf-8"?>
<sst xmlns="http://schemas.openxmlformats.org/spreadsheetml/2006/main" count="1470" uniqueCount="340">
  <si>
    <t>b</t>
  </si>
  <si>
    <t>c</t>
  </si>
  <si>
    <t>out</t>
  </si>
  <si>
    <t>runs</t>
  </si>
  <si>
    <t>balls</t>
  </si>
  <si>
    <t>4s</t>
  </si>
  <si>
    <t>6s</t>
  </si>
  <si>
    <t>s.r</t>
  </si>
  <si>
    <t>overs</t>
  </si>
  <si>
    <t>maidens</t>
  </si>
  <si>
    <t>wickets</t>
  </si>
  <si>
    <t>econ</t>
  </si>
  <si>
    <t>Gooch</t>
  </si>
  <si>
    <t>Smith</t>
  </si>
  <si>
    <t>Anderson</t>
  </si>
  <si>
    <t>bat</t>
  </si>
  <si>
    <t>bowl</t>
  </si>
  <si>
    <t>lbw</t>
  </si>
  <si>
    <t>ro</t>
  </si>
  <si>
    <t>shot</t>
  </si>
  <si>
    <t>caught</t>
  </si>
  <si>
    <t>appeal</t>
  </si>
  <si>
    <t>Dotball comment</t>
  </si>
  <si>
    <t>wk</t>
  </si>
  <si>
    <t>for</t>
  </si>
  <si>
    <t>l</t>
  </si>
  <si>
    <t>bowlers</t>
  </si>
  <si>
    <t xml:space="preserve">Last wkt   </t>
  </si>
  <si>
    <t xml:space="preserve">Last bat    </t>
  </si>
  <si>
    <t xml:space="preserve">How out   </t>
  </si>
  <si>
    <t>name</t>
  </si>
  <si>
    <t>no.</t>
  </si>
  <si>
    <t>This over</t>
  </si>
  <si>
    <t>Last over</t>
  </si>
  <si>
    <t>Fall of wickets</t>
  </si>
  <si>
    <t>W</t>
  </si>
  <si>
    <t xml:space="preserve">dictBowling = {5: [15, 100, 14, 10, 5, 5, 1], </t>
  </si>
  <si>
    <t xml:space="preserve">               4: [10, 75, 30, 10, 8, 15, 2], </t>
  </si>
  <si>
    <t xml:space="preserve">               3: [8, 50, 40, 20, 10, 18, 4], </t>
  </si>
  <si>
    <t xml:space="preserve">               2: [5, 30, 30, 30, 15, 30, 10], </t>
  </si>
  <si>
    <t xml:space="preserve">               1: [3, 20, 22, 35, 20, 35, 20]}</t>
  </si>
  <si>
    <t xml:space="preserve">dictBowler_Attack= {'balbowl': [-1, -1, -1, 0, 0, 1, 1, 2, 4, 6], </t>
  </si>
  <si>
    <t xml:space="preserve">                    'aggbowl': [-1, -1, -1, -1, 2, 4, 4, 6, 6, 6], </t>
  </si>
  <si>
    <t xml:space="preserve">                    'defbowl': [-1, -1, 0, 0, 0, 0, 1, 1, 1, 4]}</t>
  </si>
  <si>
    <t xml:space="preserve">dictBatter_Attack= {'balbat': [-5, 0, 0, 0, 1, 1, 2, 3, 4, 4], </t>
  </si>
  <si>
    <t xml:space="preserve">                    'aggbat': [-5, -5, 0, 0, 1, 2, 3, 4, 4, 6], </t>
  </si>
  <si>
    <t xml:space="preserve">                    'defbat': [0, 0, 0, 0, 0, 0, 1, 1, 4, 4]}</t>
  </si>
  <si>
    <t>vs</t>
  </si>
  <si>
    <t>They've offered him the single but he's not taking it. No run.</t>
  </si>
  <si>
    <t>That's a jaffer! Unplayable!</t>
  </si>
  <si>
    <t>Ooh! That one went right through him.</t>
  </si>
  <si>
    <t>Swinging like a rusty gate. He's lucky that wasn't on the stumps.</t>
  </si>
  <si>
    <t>Too good for him. Just past the edge.</t>
  </si>
  <si>
    <t>Edged! And safe. What a ball!</t>
  </si>
  <si>
    <t>Edged! Just short of the keeper. Soft hands stop the ball carrying.</t>
  </si>
  <si>
    <t>Ouch! The ball thumps into his ribs.</t>
  </si>
  <si>
    <t>Badged! The ball has hit him square on the helmet.</t>
  </si>
  <si>
    <t>A swing and a miss. Oh dear. My mother could've hit that with a stick of rhubarb.</t>
  </si>
  <si>
    <t>Good leave. Judged the length perfectly.</t>
  </si>
  <si>
    <t>Good leave. That was the outswinger.</t>
  </si>
  <si>
    <t>How on earth did that miss the stumps? What a ball!</t>
  </si>
  <si>
    <t>Defends into the off side. No run.</t>
  </si>
  <si>
    <t>Some wags in the crowd are appealing but that was a bump ball.</t>
  </si>
  <si>
    <t>Oh good fielding! No run.</t>
  </si>
  <si>
    <t>Stopped by the shins of the leg slip. Ouch. No run.</t>
  </si>
  <si>
    <t>Didn't time that one. No run.</t>
  </si>
  <si>
    <t>Lovely timing but straight to the fielder. No run.</t>
  </si>
  <si>
    <t>That one did a little but not enough. Squirts off the bat and there's no run.</t>
  </si>
  <si>
    <t>Big swing! No contact. The batsman has shown his colours but there is no run.</t>
  </si>
  <si>
    <t xml:space="preserve">That's a jaffer! Unplayable! </t>
  </si>
  <si>
    <t xml:space="preserve">That's a jaffer! Unplayable!   </t>
  </si>
  <si>
    <t>Defends into the off side and they go through for a single.</t>
  </si>
  <si>
    <t>They'll come back for a second ... And they do. Two runs.</t>
  </si>
  <si>
    <t>Bisects the field and they should get three for this ... And they do.</t>
  </si>
  <si>
    <t>Oh good running - he arrives in the crease in plenty of time to make it three runs.</t>
  </si>
  <si>
    <t>A quick single keeps the scoreboard ticking over.</t>
  </si>
  <si>
    <t>A glorious cover drive that was four the moment it left the bat</t>
  </si>
  <si>
    <t>Is that going all the way? Not quite. Four runs.</t>
  </si>
  <si>
    <t>Dispatched off his legs for four.</t>
  </si>
  <si>
    <t>It's in the air! And flies between second and third slip for four runs.</t>
  </si>
  <si>
    <t>Straight back over the bowler's head. And it's gone all the way! Six runs!</t>
  </si>
  <si>
    <t>That got the treatment. He swings it over deep square leg for six.</t>
  </si>
  <si>
    <t xml:space="preserve">That has gone miles! And well held that spectator! Six runs. </t>
  </si>
  <si>
    <t>Test</t>
  </si>
  <si>
    <t>innings</t>
  </si>
  <si>
    <t xml:space="preserve">Team name: </t>
  </si>
  <si>
    <t>Players</t>
  </si>
  <si>
    <t>Total</t>
  </si>
  <si>
    <t>max 30</t>
  </si>
  <si>
    <t>Bowling
rating /5</t>
  </si>
  <si>
    <t>Batting
rating /5</t>
  </si>
  <si>
    <t>Gower</t>
  </si>
  <si>
    <t>Botham</t>
  </si>
  <si>
    <t>Lara</t>
  </si>
  <si>
    <t>Waqar Younis</t>
  </si>
  <si>
    <t>Murali</t>
  </si>
  <si>
    <t>World</t>
  </si>
  <si>
    <t>England</t>
  </si>
  <si>
    <t>Innings:</t>
  </si>
  <si>
    <t>Bowler</t>
  </si>
  <si>
    <t>Hat check</t>
  </si>
  <si>
    <t>LARA</t>
  </si>
  <si>
    <t>batter</t>
  </si>
  <si>
    <t>bowler</t>
  </si>
  <si>
    <t>batter adv</t>
  </si>
  <si>
    <t>bowler adv</t>
  </si>
  <si>
    <t>AA</t>
  </si>
  <si>
    <t>BA</t>
  </si>
  <si>
    <t>CA</t>
  </si>
  <si>
    <t>DA</t>
  </si>
  <si>
    <t>EA</t>
  </si>
  <si>
    <t>AB</t>
  </si>
  <si>
    <t>AC</t>
  </si>
  <si>
    <t>AD</t>
  </si>
  <si>
    <t>AE</t>
  </si>
  <si>
    <t>11,22,33,44,55</t>
  </si>
  <si>
    <t>21, 32, 43, 54</t>
  </si>
  <si>
    <t>31, 42, 53</t>
  </si>
  <si>
    <t>41,52</t>
  </si>
  <si>
    <t>12, 23, 34, 45</t>
  </si>
  <si>
    <t>13,24,35</t>
  </si>
  <si>
    <t>14,25</t>
  </si>
  <si>
    <t>Tuffnell</t>
  </si>
  <si>
    <t>Title</t>
  </si>
  <si>
    <t>Mat</t>
  </si>
  <si>
    <t>Inns</t>
  </si>
  <si>
    <t>NO</t>
  </si>
  <si>
    <t>Runs</t>
  </si>
  <si>
    <t>HS</t>
  </si>
  <si>
    <t>Avg</t>
  </si>
  <si>
    <t>BF</t>
  </si>
  <si>
    <t>SR</t>
  </si>
  <si>
    <t>100s</t>
  </si>
  <si>
    <t>50s</t>
  </si>
  <si>
    <t>0s</t>
  </si>
  <si>
    <t>w</t>
  </si>
  <si>
    <t>every</t>
  </si>
  <si>
    <t>3s</t>
  </si>
  <si>
    <t>2s</t>
  </si>
  <si>
    <t>1s</t>
  </si>
  <si>
    <t>ws</t>
  </si>
  <si>
    <t>work out how many runs scored in 4s and 6s, as proportion of all runs</t>
  </si>
  <si>
    <t>show this as proportion of innings average</t>
  </si>
  <si>
    <t>work out how many 1s,2s,3s as half, third, sixth of rest of runs in innings</t>
  </si>
  <si>
    <t>use strike rate to work out how many balls faced to reach average score</t>
  </si>
  <si>
    <t>The bowler fields it and shows his soccer skills. Little bit of keepy-up and there's no run.</t>
  </si>
  <si>
    <t>%</t>
  </si>
  <si>
    <t>100*sr/avg</t>
  </si>
  <si>
    <t>w/every</t>
  </si>
  <si>
    <t>from sr</t>
  </si>
  <si>
    <t>% balls no score</t>
  </si>
  <si>
    <t>% of balls that score runs</t>
  </si>
  <si>
    <t>% of total runs</t>
  </si>
  <si>
    <t>% of scoring balls</t>
  </si>
  <si>
    <t>3/6</t>
  </si>
  <si>
    <t>2/6</t>
  </si>
  <si>
    <t>1/6</t>
  </si>
  <si>
    <t>% of balls faced</t>
  </si>
  <si>
    <t>rounded</t>
  </si>
  <si>
    <t>Root</t>
  </si>
  <si>
    <t>Batting</t>
  </si>
  <si>
    <t>Not Outs:</t>
  </si>
  <si>
    <t>Aggregate:</t>
  </si>
  <si>
    <t>Highest Score:</t>
  </si>
  <si>
    <t>Average:</t>
  </si>
  <si>
    <t>50s:</t>
  </si>
  <si>
    <t>100s:</t>
  </si>
  <si>
    <t>200s:</t>
  </si>
  <si>
    <t>300s:</t>
  </si>
  <si>
    <t>Ducks:</t>
  </si>
  <si>
    <t>Pairs:</t>
  </si>
  <si>
    <t>4s:</t>
  </si>
  <si>
    <t>6s:</t>
  </si>
  <si>
    <t>Balls Faced:</t>
  </si>
  <si>
    <t>Scoring Rate</t>
  </si>
  <si>
    <t>Sehwag</t>
  </si>
  <si>
    <t>score probability</t>
  </si>
  <si>
    <t>22*</t>
  </si>
  <si>
    <t>Shannon Gabriel</t>
  </si>
  <si>
    <t>20*</t>
  </si>
  <si>
    <t>Bowling</t>
  </si>
  <si>
    <t>Overs:</t>
  </si>
  <si>
    <t>Balls:</t>
  </si>
  <si>
    <t>Maidens:</t>
  </si>
  <si>
    <t>Runs Conceded:</t>
  </si>
  <si>
    <t>Wickets:</t>
  </si>
  <si>
    <t>5 Wickets in Innings:</t>
  </si>
  <si>
    <t>10 Wickets in Match:</t>
  </si>
  <si>
    <t>Best - Innings:</t>
  </si>
  <si>
    <t>Best - Match:</t>
  </si>
  <si>
    <t>13/135</t>
  </si>
  <si>
    <t>None for 100</t>
  </si>
  <si>
    <t>Economy Rate:</t>
  </si>
  <si>
    <t>Strike Rate:</t>
  </si>
  <si>
    <t>w/100 balls</t>
  </si>
  <si>
    <t>no run</t>
  </si>
  <si>
    <t>avg</t>
  </si>
  <si>
    <t>in 100 balls</t>
  </si>
  <si>
    <t>dots</t>
  </si>
  <si>
    <t>Moeen</t>
  </si>
  <si>
    <t>10/112</t>
  </si>
  <si>
    <t>runs pw p100 balls</t>
  </si>
  <si>
    <t>Year</t>
  </si>
  <si>
    <t>Innings</t>
  </si>
  <si>
    <t>Overs</t>
  </si>
  <si>
    <t>Wickets</t>
  </si>
  <si>
    <t>Econ</t>
  </si>
  <si>
    <t>5W</t>
  </si>
  <si>
    <t>BBI</t>
  </si>
  <si>
    <t>Dot%</t>
  </si>
  <si>
    <t>sehwag</t>
  </si>
  <si>
    <t>anderson</t>
  </si>
  <si>
    <t>per 100 balls</t>
  </si>
  <si>
    <t>69.6 dots</t>
  </si>
  <si>
    <t>1.7 wkts</t>
  </si>
  <si>
    <t>scoring balls</t>
  </si>
  <si>
    <t xml:space="preserve">for </t>
  </si>
  <si>
    <t>Balls</t>
  </si>
  <si>
    <t>Bowling figures</t>
  </si>
  <si>
    <t>wkts</t>
  </si>
  <si>
    <t>runs/100 balls</t>
  </si>
  <si>
    <t>scoring balls/100 balls</t>
  </si>
  <si>
    <t>can't work this out without knowing dots</t>
  </si>
  <si>
    <t>need to guess based on a bowler since 2002, using cricmetric</t>
  </si>
  <si>
    <t>not true</t>
  </si>
  <si>
    <t>Stuart Broad</t>
  </si>
  <si>
    <t>Moeen Ali</t>
  </si>
  <si>
    <t>Jimmy Anderson</t>
  </si>
  <si>
    <t>Dale Steyn</t>
  </si>
  <si>
    <t>Marlon Samuels</t>
  </si>
  <si>
    <t>Maharoof</t>
  </si>
  <si>
    <t>Ashwin</t>
  </si>
  <si>
    <t>Jadeja</t>
  </si>
  <si>
    <t>Gabriel</t>
  </si>
  <si>
    <t>400*</t>
  </si>
  <si>
    <t>Tavare</t>
  </si>
  <si>
    <t>tavare</t>
  </si>
  <si>
    <t>Tendulkar</t>
  </si>
  <si>
    <t>248*</t>
  </si>
  <si>
    <t>Format</t>
  </si>
  <si>
    <t>M</t>
  </si>
  <si>
    <t>Inn</t>
  </si>
  <si>
    <t>246*</t>
  </si>
  <si>
    <t>Boycott</t>
  </si>
  <si>
    <t>runs /100 balls</t>
  </si>
  <si>
    <t>wickets /100 balls</t>
  </si>
  <si>
    <t>Outs</t>
  </si>
  <si>
    <t>Dot %</t>
  </si>
  <si>
    <t>Azhar Ali</t>
  </si>
  <si>
    <t>w/100b</t>
  </si>
  <si>
    <t>Remain</t>
  </si>
  <si>
    <t>sub</t>
  </si>
  <si>
    <t>runs per 100 balls</t>
  </si>
  <si>
    <t>actual runs per 100 balls</t>
  </si>
  <si>
    <t>Khaled Mashud</t>
  </si>
  <si>
    <t>super slow</t>
  </si>
  <si>
    <t>super low avg</t>
  </si>
  <si>
    <t>Steve Smith</t>
  </si>
  <si>
    <t>Cook</t>
  </si>
  <si>
    <t>Marc Boucher</t>
  </si>
  <si>
    <t>Kemar Roach</t>
  </si>
  <si>
    <t>virtual runs per 100 balls</t>
  </si>
  <si>
    <t xml:space="preserve"> virtual runs per 100 balls</t>
  </si>
  <si>
    <t>Chris Martin</t>
  </si>
  <si>
    <t>real runs per 100 balls</t>
  </si>
  <si>
    <t>vsr</t>
  </si>
  <si>
    <t>Danesh Kaneria</t>
  </si>
  <si>
    <t>Pat Cummins</t>
  </si>
  <si>
    <t>rec</t>
  </si>
  <si>
    <t>perf</t>
  </si>
  <si>
    <t>overs bowled</t>
  </si>
  <si>
    <t>overs to recover</t>
  </si>
  <si>
    <t>tiring rate</t>
  </si>
  <si>
    <t>effect on performance</t>
  </si>
  <si>
    <t>recovery</t>
  </si>
  <si>
    <t>Put teams into the Team sheet - tab below</t>
  </si>
  <si>
    <t xml:space="preserve">Your bowling ratings can add up to 25 </t>
  </si>
  <si>
    <t>Your batting ratings can add up to 30</t>
  </si>
  <si>
    <t>Give each player a batting and bowling rating out of 5 - if it is more than 5 it won't work</t>
  </si>
  <si>
    <t>Put wk  as the bowling rating for the wicketkeeper</t>
  </si>
  <si>
    <t>At the end of each innings the scorecard is copied to the "Innings scorecards" sheet</t>
  </si>
  <si>
    <t>At the end of the game you can export the sheet to another spreadsheet - for historical purposes, you see</t>
  </si>
  <si>
    <t>For the rest, go to the "scorecards" tab, and press the buttons</t>
  </si>
  <si>
    <t>You can't change the batting order after the start</t>
  </si>
  <si>
    <t>Instructions</t>
  </si>
  <si>
    <t>It mostly works ok, and it all just happens from the "Bowl" button - you can change bowlers at the end of the over.</t>
  </si>
  <si>
    <t>Pietersen</t>
  </si>
  <si>
    <t>Knott</t>
  </si>
  <si>
    <t>Broad</t>
  </si>
  <si>
    <t>Underwood</t>
  </si>
  <si>
    <t>Willis</t>
  </si>
  <si>
    <t>Hayden</t>
  </si>
  <si>
    <t>Warner</t>
  </si>
  <si>
    <t>Ponting</t>
  </si>
  <si>
    <t>Border</t>
  </si>
  <si>
    <t>Clarke</t>
  </si>
  <si>
    <t>Gilchrist</t>
  </si>
  <si>
    <t>Warne</t>
  </si>
  <si>
    <t>Johnson</t>
  </si>
  <si>
    <t>McGrath</t>
  </si>
  <si>
    <t>Gillespie</t>
  </si>
  <si>
    <t xml:space="preserve">Overs remaining: </t>
  </si>
  <si>
    <t>T20 match</t>
  </si>
  <si>
    <t>not out</t>
  </si>
  <si>
    <t>b Anderson</t>
  </si>
  <si>
    <t>max 24</t>
  </si>
  <si>
    <t>max 54</t>
  </si>
  <si>
    <t>World batting</t>
  </si>
  <si>
    <t>c Knott b Willis</t>
  </si>
  <si>
    <t>4 Wickets in Innings:</t>
  </si>
  <si>
    <t>Best:</t>
  </si>
  <si>
    <t>Cummings</t>
  </si>
  <si>
    <t>Opened Batting:</t>
  </si>
  <si>
    <t>Top Scored in Innings:</t>
  </si>
  <si>
    <t>% of Team Runs Scored:</t>
  </si>
  <si>
    <t>% of Team Wickets Taken:</t>
  </si>
  <si>
    <t>120*</t>
  </si>
  <si>
    <t>Waugh</t>
  </si>
  <si>
    <t>Lee</t>
  </si>
  <si>
    <t>Rashid Khan</t>
  </si>
  <si>
    <t>48*</t>
  </si>
  <si>
    <t>30s:</t>
  </si>
  <si>
    <t>3 Wickets in Innings:</t>
  </si>
  <si>
    <t>13*</t>
  </si>
  <si>
    <t>Hazelwood</t>
  </si>
  <si>
    <t>ODI</t>
  </si>
  <si>
    <t>T20i</t>
  </si>
  <si>
    <t>b Willis</t>
  </si>
  <si>
    <t>c Knott b Botham</t>
  </si>
  <si>
    <t>odi</t>
  </si>
  <si>
    <t>b Broad</t>
  </si>
  <si>
    <t>GOOCH</t>
  </si>
  <si>
    <t>COOK</t>
  </si>
  <si>
    <t>World first innings</t>
  </si>
  <si>
    <t>Check that the stats above lead roughly to a par ODI score</t>
  </si>
  <si>
    <t>if batrating = bowlrating</t>
  </si>
  <si>
    <t>batrating = bowlrating</t>
  </si>
  <si>
    <t>c Willis b Underwood</t>
  </si>
  <si>
    <t xml:space="preserve"> lead by 150</t>
  </si>
  <si>
    <t>Johnson_x000D_
 to bowl to _x000D_
Gooch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</si>
</sst>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%"/>
  </numFmts>
  <fonts count="5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0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rgb="FFFFFF00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rgb="FFFFFF00"/>
      <name val="Calibri"/>
      <family val="2"/>
      <scheme val="minor"/>
    </font>
    <font>
      <sz val="28"/>
      <color rgb="FFFFFF00"/>
      <name val="Calibri"/>
      <family val="2"/>
      <scheme val="minor"/>
    </font>
    <font>
      <sz val="16"/>
      <color rgb="FFFFFF00"/>
      <name val="Wingdings"/>
      <charset val="2"/>
    </font>
    <font>
      <sz val="22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6"/>
      <color rgb="FF000000"/>
      <name val="Wingdings"/>
      <charset val="2"/>
    </font>
    <font>
      <sz val="14"/>
      <color rgb="FFFFFF00"/>
      <name val="Calibri"/>
      <family val="2"/>
      <scheme val="minor"/>
    </font>
    <font>
      <sz val="48"/>
      <color rgb="FFFFFF0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24"/>
      <color rgb="FFFFFF00"/>
      <name val="Calibri"/>
      <family val="2"/>
      <scheme val="minor"/>
    </font>
    <font>
      <sz val="16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2B2C2D"/>
      <name val="Arial"/>
      <family val="2"/>
    </font>
    <font>
      <sz val="11"/>
      <color rgb="FF2B2C2D"/>
      <name val="Arial"/>
      <family val="2"/>
    </font>
    <font>
      <b/>
      <sz val="11"/>
      <color rgb="FF2B2C2D"/>
      <name val="BentonSans-Bold"/>
    </font>
    <font>
      <b/>
      <sz val="10"/>
      <color rgb="FF2B2C2D"/>
      <name val="Arial"/>
      <family val="2"/>
    </font>
    <font>
      <i/>
      <sz val="11"/>
      <color theme="1"/>
      <name val="Calibri"/>
      <family val="2"/>
      <scheme val="minor"/>
    </font>
    <font>
      <b/>
      <sz val="8"/>
      <color rgb="FFFFFFFF"/>
      <name val="Verdana"/>
      <family val="2"/>
    </font>
    <font>
      <sz val="8"/>
      <color rgb="FF000000"/>
      <name val="Verdana"/>
      <family val="2"/>
    </font>
    <font>
      <b/>
      <sz val="8"/>
      <color rgb="FF000000"/>
      <name val="Verdana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7"/>
      <color rgb="FF878787"/>
      <name val="Arial"/>
      <family val="2"/>
    </font>
    <font>
      <sz val="8"/>
      <color rgb="FF202124"/>
      <name val="Arial"/>
      <family val="2"/>
    </font>
    <font>
      <b/>
      <sz val="11"/>
      <color rgb="FF00B0F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9"/>
      <color rgb="FF666666"/>
      <name val="Arial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20"/>
      <color rgb="FFFFFF00"/>
      <name val="Calibri"/>
      <family val="2"/>
      <scheme val="minor"/>
    </font>
    <font>
      <sz val="16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9F9FB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D2E2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EDEEF0"/>
      </right>
      <top style="medium">
        <color rgb="FFEDEEF0"/>
      </top>
      <bottom style="medium">
        <color rgb="FFEDEEF0"/>
      </bottom>
      <diagonal/>
    </border>
    <border>
      <left/>
      <right/>
      <top/>
      <bottom style="medium">
        <color rgb="FFEDEEF0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rgb="FFFF7575"/>
      </left>
      <right/>
      <top style="medium">
        <color rgb="FFFF7575"/>
      </top>
      <bottom/>
      <diagonal/>
    </border>
    <border>
      <left/>
      <right style="medium">
        <color rgb="FFFF7575"/>
      </right>
      <top style="medium">
        <color rgb="FFFF7575"/>
      </top>
      <bottom/>
      <diagonal/>
    </border>
    <border>
      <left style="medium">
        <color rgb="FFFF7575"/>
      </left>
      <right/>
      <top/>
      <bottom/>
      <diagonal/>
    </border>
    <border>
      <left/>
      <right style="medium">
        <color rgb="FFFF7575"/>
      </right>
      <top/>
      <bottom/>
      <diagonal/>
    </border>
    <border>
      <left style="medium">
        <color rgb="FFFF7575"/>
      </left>
      <right/>
      <top/>
      <bottom style="medium">
        <color rgb="FFFF7575"/>
      </bottom>
      <diagonal/>
    </border>
    <border>
      <left/>
      <right style="medium">
        <color rgb="FFFF7575"/>
      </right>
      <top/>
      <bottom style="medium">
        <color rgb="FFFF7575"/>
      </bottom>
      <diagonal/>
    </border>
  </borders>
  <cellStyleXfs count="4">
    <xf numFmtId="0" fontId="0" fillId="0" borderId="0"/>
    <xf numFmtId="9" fontId="28" fillId="0" borderId="0" applyFont="0" applyFill="0" applyBorder="0" applyAlignment="0" applyProtection="0"/>
    <xf numFmtId="0" fontId="30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4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vertical="center"/>
    </xf>
    <xf numFmtId="0" fontId="1" fillId="0" borderId="0" xfId="0" applyFont="1" applyAlignme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Fill="1"/>
    <xf numFmtId="0" fontId="4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4" fillId="2" borderId="0" xfId="0" applyFont="1" applyFill="1" applyBorder="1"/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/>
    <xf numFmtId="0" fontId="8" fillId="2" borderId="0" xfId="0" applyFont="1" applyFill="1" applyBorder="1" applyAlignment="1">
      <alignment vertical="center"/>
    </xf>
    <xf numFmtId="0" fontId="0" fillId="2" borderId="0" xfId="0" applyFill="1" applyBorder="1"/>
    <xf numFmtId="0" fontId="5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right" vertical="center"/>
    </xf>
    <xf numFmtId="0" fontId="9" fillId="2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vertical="center"/>
    </xf>
    <xf numFmtId="0" fontId="0" fillId="3" borderId="0" xfId="0" applyFill="1"/>
    <xf numFmtId="0" fontId="0" fillId="4" borderId="0" xfId="0" applyFill="1" applyAlignment="1">
      <alignment horizontal="center" vertical="center"/>
    </xf>
    <xf numFmtId="0" fontId="0" fillId="4" borderId="0" xfId="0" applyFill="1"/>
    <xf numFmtId="0" fontId="3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vertical="center"/>
    </xf>
    <xf numFmtId="164" fontId="3" fillId="4" borderId="0" xfId="0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5" fillId="0" borderId="0" xfId="0" applyFont="1" applyBorder="1"/>
    <xf numFmtId="0" fontId="15" fillId="4" borderId="0" xfId="0" applyFont="1" applyFill="1" applyBorder="1"/>
    <xf numFmtId="0" fontId="16" fillId="4" borderId="0" xfId="0" applyFont="1" applyFill="1" applyAlignment="1">
      <alignment horizontal="center" vertical="center"/>
    </xf>
    <xf numFmtId="0" fontId="15" fillId="4" borderId="0" xfId="0" applyFont="1" applyFill="1" applyBorder="1" applyAlignment="1">
      <alignment vertical="center"/>
    </xf>
    <xf numFmtId="0" fontId="6" fillId="4" borderId="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right"/>
    </xf>
    <xf numFmtId="0" fontId="17" fillId="4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left"/>
    </xf>
    <xf numFmtId="164" fontId="3" fillId="4" borderId="0" xfId="0" applyNumberFormat="1" applyFont="1" applyFill="1"/>
    <xf numFmtId="0" fontId="2" fillId="4" borderId="0" xfId="0" applyFont="1" applyFill="1" applyBorder="1" applyAlignment="1">
      <alignment horizontal="left" vertical="center"/>
    </xf>
    <xf numFmtId="0" fontId="3" fillId="4" borderId="0" xfId="0" applyFont="1" applyFill="1"/>
    <xf numFmtId="164" fontId="5" fillId="2" borderId="0" xfId="0" applyNumberFormat="1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Border="1" applyAlignment="1">
      <alignment horizontal="right" vertical="center"/>
    </xf>
    <xf numFmtId="0" fontId="0" fillId="0" borderId="0" xfId="0" applyAlignment="1">
      <alignment wrapText="1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0" fillId="3" borderId="0" xfId="0" applyFill="1" applyAlignment="1">
      <alignment wrapText="1"/>
    </xf>
    <xf numFmtId="0" fontId="6" fillId="2" borderId="0" xfId="0" applyFont="1" applyFill="1" applyBorder="1" applyAlignment="1">
      <alignment horizontal="left"/>
    </xf>
    <xf numFmtId="0" fontId="9" fillId="2" borderId="0" xfId="0" applyFont="1" applyFill="1" applyAlignment="1">
      <alignment horizontal="left" vertical="center"/>
    </xf>
    <xf numFmtId="0" fontId="22" fillId="4" borderId="0" xfId="0" applyFont="1" applyFill="1" applyAlignment="1">
      <alignment horizontal="center" vertical="center"/>
    </xf>
    <xf numFmtId="0" fontId="22" fillId="4" borderId="0" xfId="0" applyFont="1" applyFill="1"/>
    <xf numFmtId="164" fontId="22" fillId="4" borderId="0" xfId="0" applyNumberFormat="1" applyFont="1" applyFill="1"/>
    <xf numFmtId="0" fontId="22" fillId="4" borderId="0" xfId="0" applyFont="1" applyFill="1" applyBorder="1"/>
    <xf numFmtId="0" fontId="3" fillId="2" borderId="0" xfId="0" applyFont="1" applyFill="1" applyBorder="1"/>
    <xf numFmtId="0" fontId="0" fillId="0" borderId="0" xfId="0" applyBorder="1"/>
    <xf numFmtId="0" fontId="23" fillId="2" borderId="13" xfId="0" applyFont="1" applyFill="1" applyBorder="1" applyAlignment="1">
      <alignment horizontal="center"/>
    </xf>
    <xf numFmtId="0" fontId="3" fillId="2" borderId="16" xfId="0" applyFont="1" applyFill="1" applyBorder="1"/>
    <xf numFmtId="0" fontId="0" fillId="2" borderId="15" xfId="0" applyFill="1" applyBorder="1"/>
    <xf numFmtId="0" fontId="4" fillId="2" borderId="15" xfId="0" applyFont="1" applyFill="1" applyBorder="1"/>
    <xf numFmtId="0" fontId="15" fillId="3" borderId="0" xfId="0" applyFont="1" applyFill="1" applyBorder="1"/>
    <xf numFmtId="0" fontId="3" fillId="4" borderId="0" xfId="0" applyFont="1" applyFill="1" applyAlignment="1">
      <alignment horizontal="center" vertical="center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 vertical="center"/>
    </xf>
    <xf numFmtId="0" fontId="24" fillId="2" borderId="0" xfId="0" applyFont="1" applyFill="1" applyBorder="1"/>
    <xf numFmtId="0" fontId="0" fillId="0" borderId="0" xfId="0" applyFill="1" applyBorder="1"/>
    <xf numFmtId="0" fontId="3" fillId="4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20" fillId="4" borderId="1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/>
    <xf numFmtId="0" fontId="5" fillId="2" borderId="0" xfId="0" applyFont="1" applyFill="1" applyBorder="1" applyAlignment="1">
      <alignment horizontal="center" vertical="center"/>
    </xf>
    <xf numFmtId="0" fontId="5" fillId="2" borderId="16" xfId="0" applyFont="1" applyFill="1" applyBorder="1" applyAlignment="1"/>
    <xf numFmtId="0" fontId="5" fillId="2" borderId="1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left"/>
    </xf>
    <xf numFmtId="0" fontId="21" fillId="2" borderId="13" xfId="0" applyFont="1" applyFill="1" applyBorder="1" applyAlignment="1">
      <alignment horizontal="center" vertical="center"/>
    </xf>
    <xf numFmtId="0" fontId="21" fillId="2" borderId="13" xfId="0" applyFont="1" applyFill="1" applyBorder="1" applyAlignment="1">
      <alignment vertical="center"/>
    </xf>
    <xf numFmtId="0" fontId="21" fillId="2" borderId="14" xfId="0" applyFont="1" applyFill="1" applyBorder="1" applyAlignment="1">
      <alignment vertical="center"/>
    </xf>
    <xf numFmtId="0" fontId="21" fillId="2" borderId="12" xfId="0" applyFont="1" applyFill="1" applyBorder="1" applyAlignment="1">
      <alignment vertical="center"/>
    </xf>
    <xf numFmtId="0" fontId="26" fillId="2" borderId="0" xfId="0" applyFont="1" applyFill="1" applyBorder="1"/>
    <xf numFmtId="0" fontId="3" fillId="2" borderId="18" xfId="0" applyFont="1" applyFill="1" applyBorder="1" applyAlignment="1">
      <alignment horizontal="right"/>
    </xf>
    <xf numFmtId="0" fontId="0" fillId="0" borderId="0" xfId="0" applyFont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165" fontId="0" fillId="0" borderId="0" xfId="0" applyNumberFormat="1"/>
    <xf numFmtId="9" fontId="0" fillId="0" borderId="0" xfId="1" applyFont="1"/>
    <xf numFmtId="0" fontId="0" fillId="0" borderId="0" xfId="0" applyAlignment="1">
      <alignment horizontal="left"/>
    </xf>
    <xf numFmtId="0" fontId="31" fillId="5" borderId="0" xfId="0" applyFont="1" applyFill="1" applyAlignment="1">
      <alignment horizontal="left"/>
    </xf>
    <xf numFmtId="0" fontId="31" fillId="5" borderId="0" xfId="0" applyFont="1" applyFill="1" applyAlignment="1">
      <alignment horizontal="center" wrapText="1"/>
    </xf>
    <xf numFmtId="0" fontId="30" fillId="6" borderId="26" xfId="2" applyFill="1" applyBorder="1" applyAlignment="1">
      <alignment horizontal="left" vertical="top"/>
    </xf>
    <xf numFmtId="0" fontId="32" fillId="5" borderId="26" xfId="0" applyFont="1" applyFill="1" applyBorder="1" applyAlignment="1">
      <alignment horizontal="right" vertical="top"/>
    </xf>
    <xf numFmtId="0" fontId="33" fillId="5" borderId="26" xfId="0" applyFont="1" applyFill="1" applyBorder="1" applyAlignment="1">
      <alignment horizontal="right" vertical="top"/>
    </xf>
    <xf numFmtId="9" fontId="0" fillId="0" borderId="0" xfId="0" applyNumberFormat="1"/>
    <xf numFmtId="164" fontId="0" fillId="0" borderId="0" xfId="0" applyNumberFormat="1"/>
    <xf numFmtId="166" fontId="0" fillId="0" borderId="0" xfId="1" applyNumberFormat="1" applyFont="1"/>
    <xf numFmtId="164" fontId="0" fillId="0" borderId="0" xfId="1" applyNumberFormat="1" applyFont="1"/>
    <xf numFmtId="2" fontId="35" fillId="0" borderId="0" xfId="1" applyNumberFormat="1" applyFont="1" applyAlignment="1"/>
    <xf numFmtId="2" fontId="1" fillId="0" borderId="0" xfId="1" applyNumberFormat="1" applyFont="1"/>
    <xf numFmtId="9" fontId="0" fillId="0" borderId="0" xfId="0" quotePrefix="1" applyNumberFormat="1" applyAlignment="1">
      <alignment horizontal="center"/>
    </xf>
    <xf numFmtId="10" fontId="0" fillId="0" borderId="0" xfId="0" quotePrefix="1" applyNumberFormat="1" applyAlignment="1">
      <alignment horizontal="center"/>
    </xf>
    <xf numFmtId="0" fontId="31" fillId="5" borderId="0" xfId="0" applyFont="1" applyFill="1" applyAlignment="1">
      <alignment horizontal="center" vertical="center" wrapText="1"/>
    </xf>
    <xf numFmtId="0" fontId="32" fillId="5" borderId="26" xfId="0" applyFont="1" applyFill="1" applyBorder="1" applyAlignment="1">
      <alignment horizontal="center" vertical="center"/>
    </xf>
    <xf numFmtId="0" fontId="33" fillId="5" borderId="26" xfId="0" applyFont="1" applyFill="1" applyBorder="1" applyAlignment="1">
      <alignment horizontal="center" vertical="center"/>
    </xf>
    <xf numFmtId="0" fontId="38" fillId="8" borderId="0" xfId="0" applyFont="1" applyFill="1" applyAlignment="1">
      <alignment vertical="center" wrapText="1"/>
    </xf>
    <xf numFmtId="0" fontId="30" fillId="8" borderId="0" xfId="2" applyFill="1" applyAlignment="1">
      <alignment horizontal="right" vertical="center" wrapText="1"/>
    </xf>
    <xf numFmtId="0" fontId="37" fillId="8" borderId="0" xfId="0" applyFont="1" applyFill="1" applyAlignment="1">
      <alignment horizontal="right" vertical="center" wrapText="1"/>
    </xf>
    <xf numFmtId="9" fontId="0" fillId="0" borderId="0" xfId="1" applyFont="1" applyAlignment="1"/>
    <xf numFmtId="0" fontId="34" fillId="0" borderId="27" xfId="0" applyFont="1" applyBorder="1" applyAlignment="1">
      <alignment horizontal="left" vertical="center"/>
    </xf>
    <xf numFmtId="0" fontId="38" fillId="8" borderId="0" xfId="0" applyFont="1" applyFill="1" applyAlignment="1">
      <alignment vertical="center"/>
    </xf>
    <xf numFmtId="0" fontId="30" fillId="8" borderId="0" xfId="2" applyFill="1" applyAlignment="1">
      <alignment horizontal="right" vertical="center"/>
    </xf>
    <xf numFmtId="0" fontId="37" fillId="8" borderId="0" xfId="0" applyFont="1" applyFill="1" applyAlignment="1">
      <alignment horizontal="right" vertical="center"/>
    </xf>
    <xf numFmtId="0" fontId="2" fillId="10" borderId="0" xfId="0" applyFont="1" applyFill="1"/>
    <xf numFmtId="1" fontId="0" fillId="0" borderId="0" xfId="0" applyNumberFormat="1"/>
    <xf numFmtId="17" fontId="30" fillId="8" borderId="0" xfId="2" applyNumberFormat="1" applyFill="1" applyAlignment="1">
      <alignment horizontal="right" vertical="center" wrapText="1"/>
    </xf>
    <xf numFmtId="0" fontId="2" fillId="10" borderId="0" xfId="0" applyFont="1" applyFill="1" applyAlignment="1">
      <alignment horizontal="center" vertical="center"/>
    </xf>
    <xf numFmtId="9" fontId="2" fillId="10" borderId="0" xfId="0" applyNumberFormat="1" applyFont="1" applyFill="1"/>
    <xf numFmtId="10" fontId="0" fillId="0" borderId="0" xfId="1" applyNumberFormat="1" applyFont="1"/>
    <xf numFmtId="0" fontId="0" fillId="0" borderId="0" xfId="0" applyAlignment="1">
      <alignment horizontal="right"/>
    </xf>
    <xf numFmtId="10" fontId="0" fillId="0" borderId="0" xfId="1" applyNumberFormat="1" applyFont="1" applyAlignment="1">
      <alignment horizontal="left"/>
    </xf>
    <xf numFmtId="10" fontId="0" fillId="0" borderId="0" xfId="0" applyNumberFormat="1"/>
    <xf numFmtId="0" fontId="30" fillId="0" borderId="0" xfId="2" applyAlignment="1">
      <alignment horizontal="left" vertical="center" wrapText="1" indent="2"/>
    </xf>
    <xf numFmtId="0" fontId="39" fillId="11" borderId="28" xfId="0" applyFont="1" applyFill="1" applyBorder="1" applyAlignment="1">
      <alignment horizontal="left" wrapText="1"/>
    </xf>
    <xf numFmtId="0" fontId="40" fillId="0" borderId="28" xfId="0" applyFont="1" applyBorder="1" applyAlignment="1">
      <alignment vertical="top" wrapText="1"/>
    </xf>
    <xf numFmtId="3" fontId="40" fillId="0" borderId="28" xfId="0" applyNumberFormat="1" applyFont="1" applyBorder="1" applyAlignment="1">
      <alignment vertical="top" wrapText="1"/>
    </xf>
    <xf numFmtId="17" fontId="40" fillId="0" borderId="28" xfId="0" applyNumberFormat="1" applyFont="1" applyBorder="1" applyAlignment="1">
      <alignment vertical="top" wrapText="1"/>
    </xf>
    <xf numFmtId="0" fontId="0" fillId="0" borderId="0" xfId="0" applyFont="1" applyAlignment="1">
      <alignment horizontal="center"/>
    </xf>
    <xf numFmtId="0" fontId="39" fillId="11" borderId="28" xfId="0" applyFont="1" applyFill="1" applyBorder="1" applyAlignment="1">
      <alignment horizontal="center" wrapText="1"/>
    </xf>
    <xf numFmtId="0" fontId="40" fillId="0" borderId="28" xfId="0" applyFont="1" applyBorder="1" applyAlignment="1">
      <alignment horizontal="center" vertical="top" wrapText="1"/>
    </xf>
    <xf numFmtId="3" fontId="40" fillId="0" borderId="28" xfId="0" applyNumberFormat="1" applyFont="1" applyBorder="1" applyAlignment="1">
      <alignment horizontal="center" vertical="top" wrapText="1"/>
    </xf>
    <xf numFmtId="0" fontId="39" fillId="11" borderId="28" xfId="0" applyFont="1" applyFill="1" applyBorder="1" applyAlignment="1">
      <alignment horizontal="center" vertical="center" wrapText="1"/>
    </xf>
    <xf numFmtId="0" fontId="40" fillId="0" borderId="28" xfId="0" applyFont="1" applyBorder="1" applyAlignment="1">
      <alignment horizontal="center" vertical="center" wrapText="1"/>
    </xf>
    <xf numFmtId="3" fontId="40" fillId="0" borderId="28" xfId="0" applyNumberFormat="1" applyFont="1" applyBorder="1" applyAlignment="1">
      <alignment horizontal="center" vertical="center" wrapText="1"/>
    </xf>
    <xf numFmtId="17" fontId="40" fillId="0" borderId="28" xfId="0" applyNumberFormat="1" applyFont="1" applyBorder="1" applyAlignment="1">
      <alignment horizontal="center" vertical="center" wrapText="1"/>
    </xf>
    <xf numFmtId="166" fontId="0" fillId="0" borderId="0" xfId="0" applyNumberFormat="1"/>
    <xf numFmtId="17" fontId="30" fillId="8" borderId="0" xfId="2" applyNumberFormat="1" applyFill="1" applyAlignment="1">
      <alignment horizontal="right" vertical="center"/>
    </xf>
    <xf numFmtId="0" fontId="29" fillId="0" borderId="0" xfId="0" applyFont="1" applyAlignment="1">
      <alignment horizontal="right"/>
    </xf>
    <xf numFmtId="10" fontId="29" fillId="0" borderId="0" xfId="1" applyNumberFormat="1" applyFont="1" applyAlignment="1">
      <alignment horizontal="left"/>
    </xf>
    <xf numFmtId="0" fontId="40" fillId="7" borderId="28" xfId="0" applyFont="1" applyFill="1" applyBorder="1" applyAlignment="1">
      <alignment vertical="top" wrapText="1"/>
    </xf>
    <xf numFmtId="0" fontId="40" fillId="12" borderId="28" xfId="0" applyFont="1" applyFill="1" applyBorder="1" applyAlignment="1">
      <alignment vertical="top" wrapText="1"/>
    </xf>
    <xf numFmtId="0" fontId="38" fillId="8" borderId="0" xfId="0" applyFont="1" applyFill="1" applyBorder="1" applyAlignment="1">
      <alignment vertical="center" wrapText="1"/>
    </xf>
    <xf numFmtId="164" fontId="0" fillId="0" borderId="0" xfId="0" applyNumberFormat="1" applyAlignment="1"/>
    <xf numFmtId="165" fontId="0" fillId="0" borderId="0" xfId="0" applyNumberFormat="1" applyAlignment="1"/>
    <xf numFmtId="0" fontId="41" fillId="0" borderId="0" xfId="0" applyFont="1" applyAlignment="1">
      <alignment horizontal="left" vertical="center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left" vertical="center" wrapText="1"/>
    </xf>
    <xf numFmtId="0" fontId="42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3" fontId="0" fillId="0" borderId="0" xfId="0" applyNumberFormat="1" applyAlignment="1">
      <alignment vertical="center"/>
    </xf>
    <xf numFmtId="0" fontId="44" fillId="0" borderId="0" xfId="0" applyFont="1" applyAlignment="1">
      <alignment vertical="center"/>
    </xf>
    <xf numFmtId="0" fontId="2" fillId="10" borderId="0" xfId="0" applyFont="1" applyFill="1" applyAlignment="1">
      <alignment vertical="center"/>
    </xf>
    <xf numFmtId="1" fontId="0" fillId="0" borderId="0" xfId="1" applyNumberFormat="1" applyFont="1" applyAlignment="1">
      <alignment vertical="center"/>
    </xf>
    <xf numFmtId="0" fontId="2" fillId="7" borderId="0" xfId="0" applyFont="1" applyFill="1" applyAlignment="1">
      <alignment vertical="center"/>
    </xf>
    <xf numFmtId="2" fontId="0" fillId="0" borderId="0" xfId="3" applyNumberFormat="1" applyFont="1" applyAlignment="1">
      <alignment vertical="center"/>
    </xf>
    <xf numFmtId="2" fontId="0" fillId="0" borderId="0" xfId="0" applyNumberFormat="1" applyAlignment="1">
      <alignment vertical="center"/>
    </xf>
    <xf numFmtId="2" fontId="35" fillId="0" borderId="0" xfId="0" applyNumberFormat="1" applyFont="1" applyAlignment="1">
      <alignment vertical="center"/>
    </xf>
    <xf numFmtId="0" fontId="0" fillId="0" borderId="0" xfId="0" applyFont="1" applyAlignment="1">
      <alignment horizontal="right" vertical="center"/>
    </xf>
    <xf numFmtId="0" fontId="0" fillId="0" borderId="29" xfId="0" applyFont="1" applyFill="1" applyBorder="1" applyAlignment="1">
      <alignment horizontal="right" vertical="center" wrapText="1"/>
    </xf>
    <xf numFmtId="0" fontId="2" fillId="13" borderId="0" xfId="0" applyFont="1" applyFill="1" applyAlignment="1">
      <alignment vertical="center"/>
    </xf>
    <xf numFmtId="1" fontId="2" fillId="13" borderId="0" xfId="1" applyNumberFormat="1" applyFont="1" applyFill="1" applyAlignment="1">
      <alignment vertical="center"/>
    </xf>
    <xf numFmtId="3" fontId="2" fillId="13" borderId="0" xfId="0" applyNumberFormat="1" applyFont="1" applyFill="1" applyAlignment="1">
      <alignment vertical="center"/>
    </xf>
    <xf numFmtId="0" fontId="45" fillId="13" borderId="0" xfId="0" applyFont="1" applyFill="1" applyAlignment="1">
      <alignment vertical="center"/>
    </xf>
    <xf numFmtId="0" fontId="0" fillId="0" borderId="0" xfId="0" applyAlignment="1">
      <alignment vertical="center" textRotation="90"/>
    </xf>
    <xf numFmtId="0" fontId="1" fillId="0" borderId="0" xfId="0" applyFont="1" applyFill="1"/>
    <xf numFmtId="0" fontId="1" fillId="0" borderId="0" xfId="0" applyFont="1" applyFill="1" applyAlignment="1">
      <alignment horizontal="center" wrapText="1"/>
    </xf>
    <xf numFmtId="0" fontId="21" fillId="2" borderId="0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 vertical="center"/>
    </xf>
    <xf numFmtId="0" fontId="46" fillId="0" borderId="0" xfId="0" applyFont="1" applyAlignment="1">
      <alignment horizontal="left" vertical="center" wrapText="1"/>
    </xf>
    <xf numFmtId="0" fontId="47" fillId="0" borderId="0" xfId="0" applyFont="1" applyFill="1"/>
    <xf numFmtId="0" fontId="48" fillId="0" borderId="0" xfId="0" applyFont="1" applyFill="1"/>
    <xf numFmtId="0" fontId="12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49" fillId="2" borderId="0" xfId="0" applyFont="1" applyFill="1" applyBorder="1" applyAlignment="1">
      <alignment horizontal="center"/>
    </xf>
    <xf numFmtId="0" fontId="37" fillId="8" borderId="0" xfId="0" applyFont="1" applyFill="1" applyAlignment="1">
      <alignment vertical="center" wrapText="1"/>
    </xf>
    <xf numFmtId="0" fontId="2" fillId="13" borderId="23" xfId="0" applyFont="1" applyFill="1" applyBorder="1" applyAlignment="1">
      <alignment horizontal="center" vertical="center"/>
    </xf>
    <xf numFmtId="0" fontId="2" fillId="13" borderId="24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2" fillId="14" borderId="23" xfId="0" applyFont="1" applyFill="1" applyBorder="1" applyAlignment="1">
      <alignment horizontal="center" vertical="center"/>
    </xf>
    <xf numFmtId="0" fontId="2" fillId="14" borderId="24" xfId="0" applyFont="1" applyFill="1" applyBorder="1" applyAlignment="1">
      <alignment horizontal="center" vertical="center"/>
    </xf>
    <xf numFmtId="0" fontId="2" fillId="14" borderId="25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/>
    </xf>
    <xf numFmtId="0" fontId="9" fillId="4" borderId="20" xfId="0" applyFont="1" applyFill="1" applyBorder="1" applyAlignment="1">
      <alignment horizontal="center" vertical="center" wrapText="1"/>
    </xf>
    <xf numFmtId="0" fontId="9" fillId="4" borderId="21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25" fillId="4" borderId="20" xfId="0" applyFont="1" applyFill="1" applyBorder="1" applyAlignment="1">
      <alignment horizontal="center" vertical="center" wrapText="1"/>
    </xf>
    <xf numFmtId="0" fontId="25" fillId="4" borderId="21" xfId="0" applyFont="1" applyFill="1" applyBorder="1" applyAlignment="1">
      <alignment horizontal="center" vertical="center" wrapText="1"/>
    </xf>
    <xf numFmtId="0" fontId="25" fillId="4" borderId="22" xfId="0" applyFont="1" applyFill="1" applyBorder="1" applyAlignment="1">
      <alignment horizontal="center" vertical="center" wrapText="1"/>
    </xf>
    <xf numFmtId="0" fontId="19" fillId="2" borderId="15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9" fillId="2" borderId="16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right"/>
    </xf>
    <xf numFmtId="0" fontId="0" fillId="0" borderId="0" xfId="0" applyAlignment="1">
      <alignment horizontal="right" vertical="center" textRotation="90"/>
    </xf>
    <xf numFmtId="0" fontId="1" fillId="0" borderId="0" xfId="0" applyFont="1" applyFill="1" applyAlignment="1">
      <alignment horizontal="center" textRotation="90"/>
    </xf>
    <xf numFmtId="0" fontId="36" fillId="9" borderId="0" xfId="0" applyFont="1" applyFill="1" applyAlignment="1">
      <alignment vertical="center"/>
    </xf>
    <xf numFmtId="0" fontId="36" fillId="9" borderId="0" xfId="0" applyFont="1" applyFill="1" applyAlignment="1">
      <alignment vertical="center" wrapText="1"/>
    </xf>
    <xf numFmtId="166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37" fillId="8" borderId="0" xfId="0" applyFont="1" applyFill="1" applyAlignment="1">
      <alignment vertical="center" wrapText="1"/>
    </xf>
    <xf numFmtId="16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 vertical="center" textRotation="90"/>
    </xf>
    <xf numFmtId="0" fontId="38" fillId="8" borderId="32" xfId="0" applyFont="1" applyFill="1" applyBorder="1" applyAlignment="1">
      <alignment vertical="center" wrapText="1"/>
    </xf>
    <xf numFmtId="0" fontId="30" fillId="8" borderId="33" xfId="2" applyFill="1" applyBorder="1" applyAlignment="1">
      <alignment horizontal="right" vertical="center" wrapText="1"/>
    </xf>
    <xf numFmtId="0" fontId="37" fillId="8" borderId="33" xfId="0" applyFont="1" applyFill="1" applyBorder="1" applyAlignment="1">
      <alignment horizontal="right" vertical="center" wrapText="1"/>
    </xf>
    <xf numFmtId="17" fontId="30" fillId="8" borderId="33" xfId="2" applyNumberFormat="1" applyFill="1" applyBorder="1" applyAlignment="1">
      <alignment horizontal="right" vertical="center" wrapText="1"/>
    </xf>
    <xf numFmtId="0" fontId="38" fillId="8" borderId="34" xfId="0" applyFont="1" applyFill="1" applyBorder="1" applyAlignment="1">
      <alignment vertical="center" wrapText="1"/>
    </xf>
    <xf numFmtId="0" fontId="37" fillId="8" borderId="35" xfId="0" applyFont="1" applyFill="1" applyBorder="1" applyAlignment="1">
      <alignment horizontal="right" vertical="center" wrapText="1"/>
    </xf>
    <xf numFmtId="0" fontId="36" fillId="9" borderId="30" xfId="0" applyFont="1" applyFill="1" applyBorder="1" applyAlignment="1">
      <alignment vertical="center" wrapText="1"/>
    </xf>
    <xf numFmtId="0" fontId="36" fillId="9" borderId="31" xfId="0" applyFont="1" applyFill="1" applyBorder="1" applyAlignment="1">
      <alignment vertical="center" wrapText="1"/>
    </xf>
    <xf numFmtId="0" fontId="37" fillId="8" borderId="32" xfId="0" applyFont="1" applyFill="1" applyBorder="1" applyAlignment="1">
      <alignment vertical="center" wrapText="1"/>
    </xf>
    <xf numFmtId="0" fontId="37" fillId="8" borderId="33" xfId="0" applyFont="1" applyFill="1" applyBorder="1" applyAlignment="1">
      <alignment vertical="center" wrapText="1"/>
    </xf>
    <xf numFmtId="0" fontId="36" fillId="9" borderId="32" xfId="0" applyFont="1" applyFill="1" applyBorder="1" applyAlignment="1">
      <alignment vertical="center" wrapText="1"/>
    </xf>
    <xf numFmtId="0" fontId="36" fillId="9" borderId="33" xfId="0" applyFont="1" applyFill="1" applyBorder="1" applyAlignment="1">
      <alignment vertical="center" wrapText="1"/>
    </xf>
    <xf numFmtId="16" fontId="30" fillId="8" borderId="0" xfId="2" applyNumberFormat="1" applyFill="1" applyAlignment="1">
      <alignment horizontal="right" vertical="center" wrapText="1"/>
    </xf>
    <xf numFmtId="0" fontId="0" fillId="0" borderId="0" xfId="0" applyFont="1" applyFill="1"/>
    <xf numFmtId="0" fontId="50" fillId="0" borderId="0" xfId="0" applyFont="1" applyAlignment="1">
      <alignment horizontal="left"/>
    </xf>
    <xf numFmtId="0" fontId="0" fillId="0" borderId="0" xfId="0" applyFont="1" applyFill="1" applyAlignment="1">
      <alignment horizontal="center" vertical="center"/>
    </xf>
    <xf numFmtId="0" fontId="1" fillId="15" borderId="0" xfId="0" applyFont="1" applyFill="1"/>
    <xf numFmtId="0" fontId="0" fillId="15" borderId="0" xfId="0" applyFill="1"/>
    <xf numFmtId="0" fontId="0" fillId="15" borderId="0" xfId="0" applyFill="1" applyAlignment="1">
      <alignment horizontal="center" vertical="center"/>
    </xf>
    <xf numFmtId="0" fontId="0" fillId="15" borderId="0" xfId="0" applyFill="1" applyAlignment="1"/>
  </cellXfs>
  <cellStyles count="4">
    <cellStyle name="Comma" xfId="3" builtinId="3"/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335280</xdr:colOff>
          <xdr:row>7</xdr:row>
          <xdr:rowOff>22860</xdr:rowOff>
        </xdr:from>
        <xdr:to>
          <xdr:col>3</xdr:col>
          <xdr:colOff>0</xdr:colOff>
          <xdr:row>8</xdr:row>
          <xdr:rowOff>205740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381000</xdr:rowOff>
        </xdr:from>
        <xdr:to>
          <xdr:col>3</xdr:col>
          <xdr:colOff>15240</xdr:colOff>
          <xdr:row>6</xdr:row>
          <xdr:rowOff>106680</xdr:rowOff>
        </xdr:to>
        <xdr:sp macro="" textlink="">
          <xdr:nvSpPr>
            <xdr:cNvPr id="1028" name="cmdBowl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9</xdr:row>
          <xdr:rowOff>38100</xdr:rowOff>
        </xdr:from>
        <xdr:to>
          <xdr:col>2</xdr:col>
          <xdr:colOff>83820</xdr:colOff>
          <xdr:row>11</xdr:row>
          <xdr:rowOff>190500</xdr:rowOff>
        </xdr:to>
        <xdr:sp macro="" textlink="">
          <xdr:nvSpPr>
            <xdr:cNvPr id="1029" name="cmdRese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howstat.com/cricket/Statistics/Matches/MatchScoreCard.asp?MatchCode=1257" TargetMode="External"/><Relationship Id="rId3" Type="http://schemas.openxmlformats.org/officeDocument/2006/relationships/hyperlink" Target="http://www.howstat.com/cricket/Statistics/Matches/MatchScoreCard.asp?MatchCode=2281" TargetMode="External"/><Relationship Id="rId7" Type="http://schemas.openxmlformats.org/officeDocument/2006/relationships/hyperlink" Target="http://www.howstat.com/cricket/Statistics/Matches/MatchScoreCard.asp?MatchCode=1153" TargetMode="External"/><Relationship Id="rId12" Type="http://schemas.openxmlformats.org/officeDocument/2006/relationships/hyperlink" Target="http://www.howstat.com/cricket/Statistics/Matches/MatchScoreCard.asp?MatchCode=2281" TargetMode="External"/><Relationship Id="rId2" Type="http://schemas.openxmlformats.org/officeDocument/2006/relationships/hyperlink" Target="http://www.howstat.com/cricket/Statistics/Players/PlayerNotables.asp?PlayerID=4271&amp;s=3" TargetMode="External"/><Relationship Id="rId1" Type="http://schemas.openxmlformats.org/officeDocument/2006/relationships/hyperlink" Target="http://www.howstat.com/cricket/Statistics/Players/PlayerProgressBowl.asp?PlayerID=4271" TargetMode="External"/><Relationship Id="rId6" Type="http://schemas.openxmlformats.org/officeDocument/2006/relationships/hyperlink" Target="http://www.howstat.com/cricket/Statistics/Players/PlayerNotables.asp?PlayerID=1959&amp;s=3" TargetMode="External"/><Relationship Id="rId11" Type="http://schemas.openxmlformats.org/officeDocument/2006/relationships/hyperlink" Target="http://www.howstat.com/cricket/Statistics/Matches/MatchScoreCard.asp?MatchCode=2281" TargetMode="External"/><Relationship Id="rId5" Type="http://schemas.openxmlformats.org/officeDocument/2006/relationships/hyperlink" Target="http://www.howstat.com/cricket/Statistics/Players/PlayerProgressBowl.asp?PlayerID=1959" TargetMode="External"/><Relationship Id="rId10" Type="http://schemas.openxmlformats.org/officeDocument/2006/relationships/hyperlink" Target="http://www.howstat.com/cricket/Statistics/Players/PlayerNotables.asp?PlayerID=4271&amp;s=3" TargetMode="External"/><Relationship Id="rId4" Type="http://schemas.openxmlformats.org/officeDocument/2006/relationships/hyperlink" Target="http://www.howstat.com/cricket/Statistics/Matches/MatchScoreCard.asp?MatchCode=2281" TargetMode="External"/><Relationship Id="rId9" Type="http://schemas.openxmlformats.org/officeDocument/2006/relationships/hyperlink" Target="http://www.howstat.com/cricket/Statistics/Players/PlayerProgressBowl.asp?PlayerID=4271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www.howstat.com/cricket/Statistics/Matches/MatchScoreCard_ODI.asp?MatchCode=3404" TargetMode="External"/><Relationship Id="rId13" Type="http://schemas.openxmlformats.org/officeDocument/2006/relationships/hyperlink" Target="http://www.howstat.com/cricket/Statistics/Matches/MatchScoreCard_ODI.asp?MatchCode=1564" TargetMode="External"/><Relationship Id="rId18" Type="http://schemas.openxmlformats.org/officeDocument/2006/relationships/hyperlink" Target="http://www.howstat.com/cricket/Statistics/Players/PlayerProgressBat_T20.asp?PlayerID=4484" TargetMode="External"/><Relationship Id="rId26" Type="http://schemas.openxmlformats.org/officeDocument/2006/relationships/hyperlink" Target="http://www.howstat.com/cricket/Statistics/Players/PlayerNotables_T20.asp?PlayerID=3799&amp;s=3" TargetMode="External"/><Relationship Id="rId3" Type="http://schemas.openxmlformats.org/officeDocument/2006/relationships/hyperlink" Target="http://www.howstat.com/cricket/Statistics/Players/PlayerProgressBowl_ODI.asp?PlayerID=3909" TargetMode="External"/><Relationship Id="rId21" Type="http://schemas.openxmlformats.org/officeDocument/2006/relationships/hyperlink" Target="http://www.howstat.com/cricket/Statistics/Players/PlayerNotables_T20.asp?PlayerID=4484&amp;s=3" TargetMode="External"/><Relationship Id="rId7" Type="http://schemas.openxmlformats.org/officeDocument/2006/relationships/hyperlink" Target="http://www.howstat.com/cricket/Statistics/Players/PlayerProgressBat_ODI.asp?PlayerID=2205" TargetMode="External"/><Relationship Id="rId12" Type="http://schemas.openxmlformats.org/officeDocument/2006/relationships/hyperlink" Target="http://www.howstat.com/cricket/Statistics/Players/PlayerProgressBat_ODI.asp?PlayerID=1873" TargetMode="External"/><Relationship Id="rId17" Type="http://schemas.openxmlformats.org/officeDocument/2006/relationships/hyperlink" Target="http://www.howstat.com/cricket/Statistics/Matches/MatchScoreCard_ODI.asp?MatchCode=0556" TargetMode="External"/><Relationship Id="rId25" Type="http://schemas.openxmlformats.org/officeDocument/2006/relationships/hyperlink" Target="http://www.howstat.com/cricket/Statistics/Players/PlayerProgressBowl_T20.asp?PlayerID=3799" TargetMode="External"/><Relationship Id="rId2" Type="http://schemas.openxmlformats.org/officeDocument/2006/relationships/hyperlink" Target="http://www.howstat.com/cricket/Statistics/Matches/MatchScoreCard_ODI.asp?MatchCode=3984" TargetMode="External"/><Relationship Id="rId16" Type="http://schemas.openxmlformats.org/officeDocument/2006/relationships/hyperlink" Target="http://www.howstat.com/cricket/Statistics/Players/PlayerNotables_ODI.asp?PlayerID=1873&amp;s=3" TargetMode="External"/><Relationship Id="rId20" Type="http://schemas.openxmlformats.org/officeDocument/2006/relationships/hyperlink" Target="http://www.howstat.com/cricket/Statistics/Players/PlayerProgressBowl_T20.asp?PlayerID=4484" TargetMode="External"/><Relationship Id="rId1" Type="http://schemas.openxmlformats.org/officeDocument/2006/relationships/hyperlink" Target="http://www.howstat.com/cricket/Statistics/Players/PlayerProgressBat_ODI.asp?PlayerID=3909" TargetMode="External"/><Relationship Id="rId6" Type="http://schemas.openxmlformats.org/officeDocument/2006/relationships/hyperlink" Target="http://www.howstat.com/cricket/Statistics/Matches/MatchScoreCard_ODI.asp?MatchCode=4268" TargetMode="External"/><Relationship Id="rId11" Type="http://schemas.openxmlformats.org/officeDocument/2006/relationships/hyperlink" Target="http://www.howstat.com/cricket/Statistics/Matches/MatchScoreCard_ODI.asp?MatchCode=2415" TargetMode="External"/><Relationship Id="rId24" Type="http://schemas.openxmlformats.org/officeDocument/2006/relationships/hyperlink" Target="http://www.howstat.com/cricket/Statistics/Matches/MatchScoreCard_T20.asp?MatchCode=1238" TargetMode="External"/><Relationship Id="rId5" Type="http://schemas.openxmlformats.org/officeDocument/2006/relationships/hyperlink" Target="http://www.howstat.com/cricket/Statistics/Players/PlayerNotables_ODI.asp?PlayerID=3909&amp;s=3" TargetMode="External"/><Relationship Id="rId15" Type="http://schemas.openxmlformats.org/officeDocument/2006/relationships/hyperlink" Target="http://www.howstat.com/cricket/Statistics/Players/PlayerProgressBowl_ODI.asp?PlayerID=1873" TargetMode="External"/><Relationship Id="rId23" Type="http://schemas.openxmlformats.org/officeDocument/2006/relationships/hyperlink" Target="http://www.howstat.com/cricket/Statistics/Players/PlayerProgressBat_T20.asp?PlayerID=3799" TargetMode="External"/><Relationship Id="rId28" Type="http://schemas.openxmlformats.org/officeDocument/2006/relationships/printerSettings" Target="../printerSettings/printerSettings5.bin"/><Relationship Id="rId10" Type="http://schemas.openxmlformats.org/officeDocument/2006/relationships/hyperlink" Target="http://www.howstat.com/cricket/Statistics/Players/PlayerNotables_ODI.asp?PlayerID=2205&amp;s=3" TargetMode="External"/><Relationship Id="rId19" Type="http://schemas.openxmlformats.org/officeDocument/2006/relationships/hyperlink" Target="http://www.howstat.com/cricket/Statistics/Matches/MatchScoreCard_T20.asp?MatchCode=1915" TargetMode="External"/><Relationship Id="rId4" Type="http://schemas.openxmlformats.org/officeDocument/2006/relationships/hyperlink" Target="http://www.howstat.com/cricket/Statistics/Players/PlayerNotables_ODI.asp?PlayerID=3909&amp;s=3" TargetMode="External"/><Relationship Id="rId9" Type="http://schemas.openxmlformats.org/officeDocument/2006/relationships/hyperlink" Target="http://www.howstat.com/cricket/Statistics/Players/PlayerProgressBowl_ODI.asp?PlayerID=2205" TargetMode="External"/><Relationship Id="rId14" Type="http://schemas.openxmlformats.org/officeDocument/2006/relationships/hyperlink" Target="http://www.howstat.com/cricket/Statistics/Players/PlayerNotables_ODI.asp?PlayerID=1873&amp;s=2" TargetMode="External"/><Relationship Id="rId22" Type="http://schemas.openxmlformats.org/officeDocument/2006/relationships/hyperlink" Target="http://www.howstat.com/cricket/Statistics/Matches/MatchScoreCard_T20.asp?MatchCode=0614" TargetMode="External"/><Relationship Id="rId27" Type="http://schemas.openxmlformats.org/officeDocument/2006/relationships/hyperlink" Target="http://www.howstat.com/cricket/Statistics/Matches/MatchScoreCard_T20.asp?MatchCode=1505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howstat.com/cricket/Statistics/Players/PlayerProgressBat.asp?PlayerID=0979" TargetMode="External"/><Relationship Id="rId13" Type="http://schemas.openxmlformats.org/officeDocument/2006/relationships/hyperlink" Target="http://www.howstat.com/cricket/Statistics/Players/PlayerNotables.asp?PlayerID=1720&amp;s=2" TargetMode="External"/><Relationship Id="rId3" Type="http://schemas.openxmlformats.org/officeDocument/2006/relationships/hyperlink" Target="http://www.howstat.com/cricket/Statistics/Players/PlayerNotables.asp?PlayerID=2878&amp;s=2" TargetMode="External"/><Relationship Id="rId7" Type="http://schemas.openxmlformats.org/officeDocument/2006/relationships/hyperlink" Target="http://www.howstat.com/cricket/Statistics/Matches/MatchScoreCard.asp?MatchCode=2177" TargetMode="External"/><Relationship Id="rId12" Type="http://schemas.openxmlformats.org/officeDocument/2006/relationships/hyperlink" Target="http://www.howstat.com/cricket/Statistics/Matches/MatchScoreCard.asp?MatchCode=0914" TargetMode="External"/><Relationship Id="rId17" Type="http://schemas.openxmlformats.org/officeDocument/2006/relationships/printerSettings" Target="../printerSettings/printerSettings6.bin"/><Relationship Id="rId2" Type="http://schemas.openxmlformats.org/officeDocument/2006/relationships/hyperlink" Target="http://www.howstat.com/cricket/Statistics/Matches/MatchScoreCard.asp?MatchCode=1888" TargetMode="External"/><Relationship Id="rId16" Type="http://schemas.openxmlformats.org/officeDocument/2006/relationships/hyperlink" Target="http://www.howstat.com/cricket/Statistics/Players/PlayerNotables.asp?PlayerID=1735&amp;s=2" TargetMode="External"/><Relationship Id="rId1" Type="http://schemas.openxmlformats.org/officeDocument/2006/relationships/hyperlink" Target="http://www.howstat.com/cricket/Statistics/Players/PlayerProgressBat.asp?PlayerID=2878" TargetMode="External"/><Relationship Id="rId6" Type="http://schemas.openxmlformats.org/officeDocument/2006/relationships/hyperlink" Target="http://www.howstat.com/cricket/Statistics/Players/PlayerProgressBat.asp?PlayerID=3952" TargetMode="External"/><Relationship Id="rId11" Type="http://schemas.openxmlformats.org/officeDocument/2006/relationships/hyperlink" Target="http://www.howstat.com/cricket/Statistics/Players/PlayerProgressBat.asp?PlayerID=1720" TargetMode="External"/><Relationship Id="rId5" Type="http://schemas.openxmlformats.org/officeDocument/2006/relationships/hyperlink" Target="http://www.howstat.com/cricket/Statistics/Matches/MatchScoreCard.asp?MatchCode=1213" TargetMode="External"/><Relationship Id="rId15" Type="http://schemas.openxmlformats.org/officeDocument/2006/relationships/hyperlink" Target="http://www.howstat.com/cricket/Statistics/Matches/MatchScoreCard.asp?MatchCode=1743" TargetMode="External"/><Relationship Id="rId10" Type="http://schemas.openxmlformats.org/officeDocument/2006/relationships/hyperlink" Target="http://www.howstat.com/cricket/Statistics/Players/PlayerNotables.asp?PlayerID=0979&amp;s=2" TargetMode="External"/><Relationship Id="rId4" Type="http://schemas.openxmlformats.org/officeDocument/2006/relationships/hyperlink" Target="http://www.howstat.com/cricket/Statistics/Players/PlayerProgressBat.asp?PlayerID=1781" TargetMode="External"/><Relationship Id="rId9" Type="http://schemas.openxmlformats.org/officeDocument/2006/relationships/hyperlink" Target="http://www.howstat.com/cricket/Statistics/Matches/MatchScoreCard.asp?MatchCode=1714" TargetMode="External"/><Relationship Id="rId14" Type="http://schemas.openxmlformats.org/officeDocument/2006/relationships/hyperlink" Target="http://www.howstat.com/cricket/Statistics/Players/PlayerProgressBat.asp?PlayerID=173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E6D09-E2FF-4928-A7C6-A5B715F3D454}">
  <sheetPr codeName="Sheet5"/>
  <dimension ref="B1:B13"/>
  <sheetViews>
    <sheetView workbookViewId="0">
      <selection activeCell="H20" sqref="H20"/>
    </sheetView>
  </sheetViews>
  <sheetFormatPr defaultRowHeight="14.4"/>
  <sheetData>
    <row r="1" spans="2:2">
      <c r="B1" s="97" t="s">
        <v>284</v>
      </c>
    </row>
    <row r="2" spans="2:2">
      <c r="B2" t="s">
        <v>275</v>
      </c>
    </row>
    <row r="3" spans="2:2">
      <c r="B3" t="s">
        <v>278</v>
      </c>
    </row>
    <row r="4" spans="2:2">
      <c r="B4" t="s">
        <v>276</v>
      </c>
    </row>
    <row r="5" spans="2:2">
      <c r="B5" t="s">
        <v>277</v>
      </c>
    </row>
    <row r="6" spans="2:2">
      <c r="B6" t="s">
        <v>279</v>
      </c>
    </row>
    <row r="8" spans="2:2">
      <c r="B8" t="s">
        <v>282</v>
      </c>
    </row>
    <row r="9" spans="2:2">
      <c r="B9" t="s">
        <v>285</v>
      </c>
    </row>
    <row r="10" spans="2:2">
      <c r="B10" t="s">
        <v>283</v>
      </c>
    </row>
    <row r="12" spans="2:2">
      <c r="B12" t="s">
        <v>280</v>
      </c>
    </row>
    <row r="13" spans="2:2">
      <c r="B13" t="s">
        <v>281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373C-5220-4367-B440-D5E8B30641DC}">
  <sheetPr codeName="Sheet12"/>
  <dimension ref="A1:AL16"/>
  <sheetViews>
    <sheetView workbookViewId="0">
      <selection activeCell="G1" sqref="G1:I1"/>
    </sheetView>
  </sheetViews>
  <sheetFormatPr defaultRowHeight="14.4"/>
  <cols>
    <col min="1" max="1" width="11.5546875" style="7" bestFit="1" customWidth="1"/>
    <col min="2" max="2" width="11.5546875" style="7" customWidth="1"/>
    <col min="3" max="4" width="7.21875" style="7" customWidth="1"/>
    <col min="5" max="5" width="8.88671875" style="7"/>
    <col min="6" max="6" width="11.5546875" style="7" bestFit="1" customWidth="1"/>
    <col min="7" max="7" width="11.5546875" style="7" customWidth="1"/>
    <col min="8" max="9" width="7.21875" style="7" customWidth="1"/>
    <col min="10" max="12" width="8.88671875" style="7"/>
    <col min="13" max="23" width="4" style="7" customWidth="1"/>
    <col min="24" max="35" width="4.109375" style="7" customWidth="1"/>
    <col min="36" max="48" width="4.33203125" style="7" customWidth="1"/>
    <col min="49" max="16384" width="8.88671875" style="7"/>
  </cols>
  <sheetData>
    <row r="1" spans="1:38" s="72" customFormat="1" ht="25.8" customHeight="1" thickBot="1">
      <c r="A1" s="72" t="s">
        <v>85</v>
      </c>
      <c r="B1" s="192" t="s">
        <v>96</v>
      </c>
      <c r="C1" s="193"/>
      <c r="D1" s="194"/>
      <c r="F1" s="72" t="s">
        <v>85</v>
      </c>
      <c r="G1" s="195" t="s">
        <v>97</v>
      </c>
      <c r="H1" s="196"/>
      <c r="I1" s="197"/>
    </row>
    <row r="2" spans="1:38" s="181" customFormat="1" ht="58.2" thickBot="1">
      <c r="B2" s="181" t="s">
        <v>86</v>
      </c>
      <c r="C2" s="182" t="s">
        <v>90</v>
      </c>
      <c r="D2" s="182" t="s">
        <v>89</v>
      </c>
      <c r="G2" s="181" t="s">
        <v>86</v>
      </c>
      <c r="H2" s="182" t="s">
        <v>90</v>
      </c>
      <c r="I2" s="182" t="s">
        <v>89</v>
      </c>
    </row>
    <row r="3" spans="1:38">
      <c r="A3" s="7">
        <v>1</v>
      </c>
      <c r="B3" s="73" t="s">
        <v>292</v>
      </c>
      <c r="C3" s="74">
        <v>4</v>
      </c>
      <c r="D3" s="75">
        <v>2</v>
      </c>
      <c r="F3" s="187">
        <v>1</v>
      </c>
      <c r="G3" s="73" t="s">
        <v>12</v>
      </c>
      <c r="H3" s="74">
        <v>4</v>
      </c>
      <c r="I3" s="75">
        <v>1</v>
      </c>
      <c r="N3" s="186"/>
      <c r="AA3"/>
      <c r="AB3"/>
      <c r="AC3"/>
      <c r="AD3"/>
      <c r="AE3"/>
      <c r="AF3"/>
      <c r="AG3"/>
      <c r="AH3"/>
      <c r="AI3"/>
      <c r="AJ3"/>
      <c r="AK3"/>
      <c r="AL3"/>
    </row>
    <row r="4" spans="1:38">
      <c r="A4" s="7">
        <v>2</v>
      </c>
      <c r="B4" s="76" t="s">
        <v>291</v>
      </c>
      <c r="C4" s="70">
        <v>4</v>
      </c>
      <c r="D4" s="77">
        <v>1</v>
      </c>
      <c r="F4" s="7">
        <v>2</v>
      </c>
      <c r="G4" s="76" t="s">
        <v>258</v>
      </c>
      <c r="H4" s="70">
        <v>4</v>
      </c>
      <c r="I4" s="77">
        <v>1</v>
      </c>
      <c r="AA4"/>
      <c r="AB4"/>
      <c r="AC4"/>
      <c r="AD4"/>
      <c r="AE4"/>
      <c r="AF4"/>
      <c r="AG4"/>
      <c r="AH4"/>
      <c r="AI4"/>
      <c r="AJ4"/>
      <c r="AK4"/>
      <c r="AL4"/>
    </row>
    <row r="5" spans="1:38">
      <c r="A5" s="7">
        <v>3</v>
      </c>
      <c r="B5" s="76" t="s">
        <v>13</v>
      </c>
      <c r="C5" s="70">
        <v>5</v>
      </c>
      <c r="D5" s="77">
        <v>1</v>
      </c>
      <c r="F5" s="7">
        <v>3</v>
      </c>
      <c r="G5" s="76" t="s">
        <v>91</v>
      </c>
      <c r="H5" s="70">
        <v>5</v>
      </c>
      <c r="I5" s="77">
        <v>1</v>
      </c>
      <c r="N5" s="185"/>
      <c r="AA5"/>
      <c r="AB5"/>
      <c r="AC5"/>
      <c r="AD5"/>
      <c r="AE5"/>
      <c r="AF5"/>
      <c r="AG5"/>
      <c r="AH5"/>
      <c r="AI5"/>
      <c r="AJ5"/>
      <c r="AK5"/>
      <c r="AL5"/>
    </row>
    <row r="6" spans="1:38">
      <c r="A6" s="7">
        <v>4</v>
      </c>
      <c r="B6" s="76" t="s">
        <v>293</v>
      </c>
      <c r="C6" s="70">
        <v>3</v>
      </c>
      <c r="D6" s="77">
        <v>1</v>
      </c>
      <c r="F6" s="7">
        <v>4</v>
      </c>
      <c r="G6" s="76" t="s">
        <v>159</v>
      </c>
      <c r="H6" s="70">
        <v>3</v>
      </c>
      <c r="I6" s="77">
        <v>1</v>
      </c>
      <c r="N6" s="185"/>
      <c r="AA6"/>
      <c r="AB6"/>
      <c r="AC6"/>
      <c r="AD6"/>
      <c r="AE6"/>
      <c r="AF6"/>
      <c r="AG6"/>
      <c r="AH6"/>
      <c r="AI6"/>
      <c r="AJ6"/>
      <c r="AK6"/>
      <c r="AL6"/>
    </row>
    <row r="7" spans="1:38">
      <c r="A7" s="7">
        <v>5</v>
      </c>
      <c r="B7" s="76" t="s">
        <v>294</v>
      </c>
      <c r="C7" s="70">
        <v>3</v>
      </c>
      <c r="D7" s="77">
        <v>1</v>
      </c>
      <c r="F7" s="7">
        <v>5</v>
      </c>
      <c r="G7" s="76" t="s">
        <v>286</v>
      </c>
      <c r="H7" s="70">
        <v>3</v>
      </c>
      <c r="I7" s="77">
        <v>1</v>
      </c>
      <c r="N7" s="185"/>
      <c r="AA7"/>
      <c r="AB7"/>
      <c r="AC7"/>
      <c r="AD7"/>
      <c r="AE7"/>
      <c r="AF7"/>
      <c r="AG7"/>
      <c r="AH7"/>
      <c r="AI7"/>
      <c r="AJ7"/>
      <c r="AK7"/>
      <c r="AL7"/>
    </row>
    <row r="8" spans="1:38">
      <c r="A8" s="7">
        <v>6</v>
      </c>
      <c r="B8" s="76" t="s">
        <v>295</v>
      </c>
      <c r="C8" s="70">
        <v>2</v>
      </c>
      <c r="D8" s="77">
        <v>2</v>
      </c>
      <c r="F8" s="7">
        <v>6</v>
      </c>
      <c r="G8" s="76" t="s">
        <v>92</v>
      </c>
      <c r="H8" s="70">
        <v>3</v>
      </c>
      <c r="I8" s="77">
        <v>4</v>
      </c>
      <c r="N8" s="185"/>
    </row>
    <row r="9" spans="1:38">
      <c r="A9" s="7">
        <v>7</v>
      </c>
      <c r="B9" s="76" t="s">
        <v>296</v>
      </c>
      <c r="C9" s="70">
        <v>3</v>
      </c>
      <c r="D9" s="77" t="s">
        <v>23</v>
      </c>
      <c r="F9" s="7">
        <v>7</v>
      </c>
      <c r="G9" s="76" t="s">
        <v>287</v>
      </c>
      <c r="H9" s="70">
        <v>3</v>
      </c>
      <c r="I9" s="77" t="s">
        <v>23</v>
      </c>
      <c r="N9" s="185"/>
    </row>
    <row r="10" spans="1:38">
      <c r="A10" s="7">
        <v>8</v>
      </c>
      <c r="B10" s="76" t="s">
        <v>297</v>
      </c>
      <c r="C10" s="70">
        <v>3</v>
      </c>
      <c r="D10" s="77">
        <v>5</v>
      </c>
      <c r="F10" s="7">
        <v>8</v>
      </c>
      <c r="G10" s="76" t="s">
        <v>288</v>
      </c>
      <c r="H10" s="70">
        <v>1</v>
      </c>
      <c r="I10" s="77">
        <v>3</v>
      </c>
      <c r="N10" s="185"/>
      <c r="AA10"/>
    </row>
    <row r="11" spans="1:38">
      <c r="A11" s="7">
        <v>9</v>
      </c>
      <c r="B11" s="76" t="s">
        <v>298</v>
      </c>
      <c r="C11" s="70">
        <v>1</v>
      </c>
      <c r="D11" s="77">
        <v>4</v>
      </c>
      <c r="F11" s="7">
        <v>9</v>
      </c>
      <c r="G11" s="76" t="s">
        <v>289</v>
      </c>
      <c r="H11" s="70">
        <v>1</v>
      </c>
      <c r="I11" s="77">
        <v>3</v>
      </c>
    </row>
    <row r="12" spans="1:38">
      <c r="A12" s="7">
        <v>10</v>
      </c>
      <c r="B12" s="76" t="s">
        <v>299</v>
      </c>
      <c r="C12" s="70">
        <v>1</v>
      </c>
      <c r="D12" s="77">
        <v>4</v>
      </c>
      <c r="F12" s="7">
        <v>10</v>
      </c>
      <c r="G12" s="76" t="s">
        <v>14</v>
      </c>
      <c r="H12" s="70">
        <v>1</v>
      </c>
      <c r="I12" s="77">
        <v>5</v>
      </c>
    </row>
    <row r="13" spans="1:38" ht="15" thickBot="1">
      <c r="A13" s="7">
        <v>11</v>
      </c>
      <c r="B13" s="78" t="s">
        <v>300</v>
      </c>
      <c r="C13" s="79">
        <v>1</v>
      </c>
      <c r="D13" s="80">
        <v>3</v>
      </c>
      <c r="F13" s="7">
        <v>11</v>
      </c>
      <c r="G13" s="78" t="s">
        <v>290</v>
      </c>
      <c r="H13" s="79">
        <v>1</v>
      </c>
      <c r="I13" s="80">
        <v>4</v>
      </c>
    </row>
    <row r="14" spans="1:38">
      <c r="C14" s="7">
        <f>SUM(C3:C13)</f>
        <v>30</v>
      </c>
      <c r="D14" s="7">
        <f>SUM(D3:D13)</f>
        <v>24</v>
      </c>
      <c r="H14" s="7">
        <f>SUM(H3:H13)</f>
        <v>29</v>
      </c>
      <c r="I14" s="7">
        <f>SUM(I3:I13)</f>
        <v>24</v>
      </c>
    </row>
    <row r="15" spans="1:38">
      <c r="C15" s="7" t="s">
        <v>88</v>
      </c>
      <c r="D15" s="7" t="s">
        <v>305</v>
      </c>
      <c r="H15" s="7" t="s">
        <v>88</v>
      </c>
      <c r="I15" s="7" t="s">
        <v>305</v>
      </c>
    </row>
    <row r="16" spans="1:38">
      <c r="G16" s="7" t="s">
        <v>306</v>
      </c>
    </row>
  </sheetData>
  <mergeCells count="2">
    <mergeCell ref="B1:D1"/>
    <mergeCell ref="G1:I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A04E8-4519-4949-8589-055E598CC533}">
  <sheetPr codeName="Sheet1"/>
  <dimension ref="A1:AE74"/>
  <sheetViews>
    <sheetView showGridLines="0" tabSelected="1" zoomScale="85" zoomScaleNormal="85" workbookViewId="0">
      <selection activeCell="B24" sqref="B24"/>
    </sheetView>
  </sheetViews>
  <sheetFormatPr defaultRowHeight="14.4"/>
  <cols>
    <col min="1" max="1" width="5.21875" style="1" customWidth="1"/>
    <col min="2" max="2" width="11.5546875" customWidth="1"/>
    <col min="3" max="3" width="5.6640625" customWidth="1"/>
    <col min="4" max="4" width="5.44140625" customWidth="1"/>
    <col min="5" max="5" width="23.21875" customWidth="1"/>
    <col min="6" max="11" width="7.77734375" customWidth="1"/>
    <col min="13" max="13" width="13.33203125" bestFit="1" customWidth="1"/>
    <col min="14" max="19" width="7.6640625" customWidth="1"/>
    <col min="20" max="20" width="6.5546875" customWidth="1"/>
    <col min="21" max="21" width="6.5546875" style="32" customWidth="1"/>
    <col min="22" max="30" width="6.5546875" customWidth="1"/>
  </cols>
  <sheetData>
    <row r="1" spans="1:31" ht="25.2" customHeight="1" thickBot="1">
      <c r="A1" s="5"/>
    </row>
    <row r="2" spans="1:31" ht="35.4" customHeight="1">
      <c r="C2" s="7"/>
      <c r="D2" s="8"/>
      <c r="E2" s="14"/>
      <c r="F2" s="198" t="s">
        <v>331</v>
      </c>
      <c r="G2" s="198"/>
      <c r="H2" s="198"/>
      <c r="I2" s="10"/>
      <c r="J2" s="199">
        <f>F29</f>
        <v>0</v>
      </c>
      <c r="K2" s="199"/>
      <c r="L2" s="199"/>
      <c r="M2" s="10"/>
      <c r="N2" s="198" t="s">
        <v>332</v>
      </c>
      <c r="O2" s="198"/>
      <c r="P2" s="198"/>
      <c r="Q2" s="6"/>
      <c r="R2" s="6"/>
      <c r="S2" s="10"/>
      <c r="T2" s="93"/>
      <c r="U2" s="91"/>
      <c r="V2" s="90" t="s">
        <v>96</v>
      </c>
      <c r="W2" s="91"/>
      <c r="X2" s="91"/>
      <c r="Y2" s="60" t="s">
        <v>47</v>
      </c>
      <c r="Z2" s="91"/>
      <c r="AA2" s="91"/>
      <c r="AB2" s="90" t="s">
        <v>97</v>
      </c>
      <c r="AC2" s="91"/>
      <c r="AD2" s="92"/>
      <c r="AE2" s="59"/>
    </row>
    <row r="3" spans="1:31" ht="31.8" customHeight="1">
      <c r="C3" s="7"/>
      <c r="D3" s="8"/>
      <c r="E3" s="10"/>
      <c r="F3" s="22" t="s">
        <v>25</v>
      </c>
      <c r="G3" s="17">
        <f>VLOOKUP(PROPER(F2),B18:F28,5, FALSE)</f>
        <v>0</v>
      </c>
      <c r="H3" s="17"/>
      <c r="I3" s="94"/>
      <c r="J3" s="19"/>
      <c r="K3" s="19" t="s">
        <v>24</v>
      </c>
      <c r="L3" s="19"/>
      <c r="M3" s="10"/>
      <c r="N3" s="44" t="s">
        <v>25</v>
      </c>
      <c r="O3" s="17">
        <f>VLOOKUP(N2,B18:F28,5, FALSE)</f>
        <v>0</v>
      </c>
      <c r="P3" s="6"/>
      <c r="Q3" s="6"/>
      <c r="R3" s="17"/>
      <c r="S3" s="10"/>
      <c r="T3" s="200" t="s">
        <v>307</v>
      </c>
      <c r="U3" s="201"/>
      <c r="V3" s="201"/>
      <c r="W3" s="201"/>
      <c r="X3" s="201"/>
      <c r="Y3" s="201"/>
      <c r="Z3" s="201"/>
      <c r="AA3" s="201"/>
      <c r="AB3" s="201"/>
      <c r="AC3" s="201"/>
      <c r="AD3" s="202"/>
    </row>
    <row r="4" spans="1:31" ht="31.8" customHeight="1">
      <c r="C4" s="7"/>
      <c r="D4" s="8"/>
      <c r="E4" s="10"/>
      <c r="F4" s="10"/>
      <c r="G4" s="10"/>
      <c r="H4" s="10"/>
      <c r="I4" s="10"/>
      <c r="J4" s="19"/>
      <c r="K4" s="188">
        <f>SUM(S18:S28)</f>
        <v>0</v>
      </c>
      <c r="L4" s="19"/>
      <c r="M4" s="10"/>
      <c r="N4" s="10"/>
      <c r="O4" s="10"/>
      <c r="P4" s="10"/>
      <c r="Q4" s="10"/>
      <c r="R4" s="10"/>
      <c r="S4" s="10"/>
      <c r="T4" s="62"/>
      <c r="U4" s="58"/>
      <c r="V4" s="58"/>
      <c r="W4" s="58"/>
      <c r="X4" s="58"/>
      <c r="Y4" s="183" t="s">
        <v>302</v>
      </c>
      <c r="Z4" s="58"/>
      <c r="AA4" s="58"/>
      <c r="AB4" s="58"/>
      <c r="AC4" s="58"/>
      <c r="AD4" s="61"/>
    </row>
    <row r="5" spans="1:31" ht="31.8" customHeight="1">
      <c r="C5" s="7"/>
      <c r="D5" s="7"/>
      <c r="E5" s="14"/>
      <c r="F5" s="12"/>
      <c r="G5" s="11"/>
      <c r="H5" s="11"/>
      <c r="I5" s="10"/>
      <c r="J5" s="13" t="s">
        <v>8</v>
      </c>
      <c r="K5" s="43">
        <f>P29</f>
        <v>0</v>
      </c>
      <c r="L5" s="189"/>
      <c r="M5" s="10"/>
      <c r="N5" s="10"/>
      <c r="O5" s="10"/>
      <c r="P5" s="10"/>
      <c r="Q5" s="10"/>
      <c r="R5" s="10"/>
      <c r="S5" s="10"/>
      <c r="T5" s="212">
        <v>150</v>
      </c>
      <c r="U5" s="213"/>
      <c r="V5" s="86" t="s">
        <v>24</v>
      </c>
      <c r="W5" s="21">
        <v>7</v>
      </c>
      <c r="X5" s="89"/>
      <c r="Y5" s="69"/>
      <c r="Z5" s="213"/>
      <c r="AA5" s="213"/>
      <c r="AB5" s="86"/>
      <c r="AC5" s="21"/>
      <c r="AD5" s="88"/>
    </row>
    <row r="6" spans="1:31" ht="31.8" customHeight="1">
      <c r="C6" s="7"/>
      <c r="D6" s="7"/>
      <c r="E6" s="14"/>
      <c r="F6" s="16" t="s">
        <v>27</v>
      </c>
      <c r="G6" s="21"/>
      <c r="H6" s="16"/>
      <c r="I6" s="14"/>
      <c r="J6" s="21"/>
      <c r="K6" s="21"/>
      <c r="L6" s="18" t="s">
        <v>26</v>
      </c>
      <c r="M6" s="19"/>
      <c r="N6" s="19"/>
      <c r="O6" s="20" t="s">
        <v>10</v>
      </c>
      <c r="P6" s="20" t="s">
        <v>3</v>
      </c>
      <c r="Q6" s="20" t="s">
        <v>9</v>
      </c>
      <c r="R6" s="20" t="s">
        <v>8</v>
      </c>
      <c r="S6" s="6"/>
      <c r="T6" s="63"/>
      <c r="U6" s="58"/>
      <c r="V6" s="58"/>
      <c r="W6" s="58"/>
      <c r="X6" s="37" t="s">
        <v>301</v>
      </c>
      <c r="Y6" s="190"/>
      <c r="Z6" s="58"/>
      <c r="AA6" s="58"/>
      <c r="AB6" s="58"/>
      <c r="AC6" s="58"/>
      <c r="AD6" s="61"/>
    </row>
    <row r="7" spans="1:31" ht="31.8" customHeight="1">
      <c r="C7" s="7"/>
      <c r="D7" s="9"/>
      <c r="E7" s="14"/>
      <c r="F7" s="16" t="s">
        <v>28</v>
      </c>
      <c r="G7" s="15"/>
      <c r="H7" s="16"/>
      <c r="I7" s="14"/>
      <c r="J7" s="16"/>
      <c r="K7" s="14"/>
      <c r="L7" s="23" t="s">
        <v>298</v>
      </c>
      <c r="M7" s="23"/>
      <c r="N7" s="23"/>
      <c r="O7" s="17">
        <f>IF(L7="","",VLOOKUP($L7, $M$18:$U$28, 7,FALSE))</f>
        <v>0</v>
      </c>
      <c r="P7" s="17">
        <f>IF(L7="","",VLOOKUP($L7, $M$18:$U$28, 6,FALSE))</f>
        <v>0</v>
      </c>
      <c r="Q7" s="17">
        <f>IF(L7="","",VLOOKUP($L7, $M$18:$U$28, 5,FALSE))</f>
        <v>0</v>
      </c>
      <c r="R7" s="17">
        <f>IF(L7="","",VLOOKUP($L7, $M$18:$U$28, 4,FALSE))</f>
        <v>0</v>
      </c>
      <c r="S7" s="6"/>
      <c r="T7" s="212"/>
      <c r="U7" s="213"/>
      <c r="V7" s="86"/>
      <c r="W7" s="21"/>
      <c r="X7" s="85"/>
      <c r="Y7" s="69"/>
      <c r="Z7" s="214"/>
      <c r="AA7" s="214"/>
      <c r="AB7" s="84"/>
      <c r="AC7" s="89"/>
      <c r="AD7" s="87"/>
    </row>
    <row r="8" spans="1:31" ht="31.8" customHeight="1">
      <c r="C8" s="7"/>
      <c r="D8" s="9"/>
      <c r="E8" s="14"/>
      <c r="F8" s="16" t="s">
        <v>29</v>
      </c>
      <c r="G8" s="15"/>
      <c r="H8" s="16"/>
      <c r="I8" s="14"/>
      <c r="J8" s="16"/>
      <c r="K8" s="14"/>
      <c r="L8" s="23"/>
      <c r="M8" s="23"/>
      <c r="N8" s="23"/>
      <c r="O8" s="17" t="str">
        <f>IF(L8="","",VLOOKUP($L8, $M$18:$U$28, 7,FALSE))</f>
        <v/>
      </c>
      <c r="P8" s="17" t="str">
        <f>IF(L8="","",VLOOKUP($L8, $M$18:$U$28, 6,FALSE))</f>
        <v/>
      </c>
      <c r="Q8" s="17" t="str">
        <f>IF(L8="","",VLOOKUP($L8, $M$18:$U$28, 5,FALSE))</f>
        <v/>
      </c>
      <c r="R8" s="17" t="str">
        <f>IF(L8="","",VLOOKUP($L8, $M$18:$U$28, 4,FALSE))</f>
        <v/>
      </c>
      <c r="S8" s="6"/>
      <c r="T8" s="63"/>
      <c r="U8" s="58"/>
      <c r="V8" s="58"/>
      <c r="W8" s="58"/>
      <c r="X8" s="58"/>
      <c r="Y8" s="184"/>
      <c r="Z8" s="58"/>
      <c r="AA8" s="58"/>
      <c r="AB8" s="58"/>
      <c r="AC8" s="58"/>
      <c r="AD8" s="61"/>
    </row>
    <row r="9" spans="1:31" ht="37.799999999999997" customHeight="1">
      <c r="C9" s="7"/>
      <c r="D9" s="8"/>
      <c r="E9" s="46" t="s">
        <v>33</v>
      </c>
      <c r="F9" s="21"/>
      <c r="G9" s="21"/>
      <c r="H9" s="21"/>
      <c r="I9" s="21"/>
      <c r="J9" s="21"/>
      <c r="K9" s="21"/>
      <c r="L9" s="15"/>
      <c r="M9" s="46" t="s">
        <v>32</v>
      </c>
      <c r="N9" s="21"/>
      <c r="O9" s="21"/>
      <c r="P9" s="21"/>
      <c r="Q9" s="21"/>
      <c r="R9" s="21"/>
      <c r="S9" s="21"/>
      <c r="T9" s="209" t="s">
        <v>338</v>
      </c>
      <c r="U9" s="210"/>
      <c r="V9" s="210"/>
      <c r="W9" s="210"/>
      <c r="X9" s="210"/>
      <c r="Y9" s="210"/>
      <c r="Z9" s="210"/>
      <c r="AA9" s="210"/>
      <c r="AB9" s="210"/>
      <c r="AC9" s="210"/>
      <c r="AD9" s="211"/>
    </row>
    <row r="10" spans="1:31" ht="13.8" customHeight="1">
      <c r="A10" s="5"/>
      <c r="C10" s="7"/>
      <c r="D10" s="8"/>
      <c r="E10" s="37"/>
      <c r="F10" s="39"/>
      <c r="G10" s="39"/>
      <c r="H10" s="39"/>
      <c r="I10" s="39"/>
      <c r="J10" s="39"/>
      <c r="K10" s="39"/>
      <c r="L10" s="10"/>
      <c r="M10" s="37"/>
      <c r="N10" s="39"/>
      <c r="O10" s="39"/>
      <c r="P10" s="39"/>
      <c r="Q10" s="39"/>
      <c r="R10" s="39"/>
      <c r="S10" s="39"/>
      <c r="T10" s="63"/>
      <c r="U10" s="58"/>
      <c r="V10" s="58"/>
      <c r="W10" s="58"/>
      <c r="X10" s="58"/>
      <c r="Y10" s="58"/>
      <c r="Z10" s="58"/>
      <c r="AA10" s="58"/>
      <c r="AB10" s="58"/>
      <c r="AC10" s="58"/>
      <c r="AD10" s="61"/>
    </row>
    <row r="11" spans="1:31" ht="21">
      <c r="A11" s="5"/>
      <c r="B11" s="47"/>
      <c r="C11" s="7"/>
      <c r="D11" s="8"/>
      <c r="E11" s="37"/>
      <c r="F11" s="52">
        <v>1</v>
      </c>
      <c r="G11" s="52">
        <v>2</v>
      </c>
      <c r="H11" s="52">
        <v>3</v>
      </c>
      <c r="I11" s="52">
        <v>4</v>
      </c>
      <c r="J11" s="52">
        <v>5</v>
      </c>
      <c r="K11" s="52">
        <v>6</v>
      </c>
      <c r="L11" s="52">
        <v>7</v>
      </c>
      <c r="M11" s="52">
        <v>8</v>
      </c>
      <c r="N11" s="52">
        <v>9</v>
      </c>
      <c r="O11" s="52">
        <v>10</v>
      </c>
      <c r="P11" s="39"/>
      <c r="Q11" s="39"/>
      <c r="R11" s="39"/>
      <c r="S11" s="39"/>
      <c r="T11" s="63"/>
      <c r="U11" s="58"/>
      <c r="V11" s="58"/>
      <c r="W11" s="58"/>
      <c r="X11" s="58"/>
      <c r="Y11" s="58"/>
      <c r="Z11" s="58"/>
      <c r="AA11" s="58"/>
      <c r="AB11" s="58"/>
      <c r="AC11" s="58"/>
      <c r="AD11" s="61"/>
    </row>
    <row r="12" spans="1:31" ht="24" thickBot="1">
      <c r="E12" s="45" t="s">
        <v>34</v>
      </c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6">
        <v>0</v>
      </c>
      <c r="Q12" s="6"/>
      <c r="R12" s="6"/>
      <c r="S12" s="6"/>
      <c r="T12" s="68"/>
      <c r="U12" s="95" t="s">
        <v>98</v>
      </c>
      <c r="V12" s="66">
        <v>1</v>
      </c>
      <c r="W12" s="66"/>
      <c r="X12" s="66"/>
      <c r="Y12" s="66"/>
      <c r="Z12" s="66"/>
      <c r="AA12" s="66"/>
      <c r="AB12" s="66"/>
      <c r="AC12" s="66"/>
      <c r="AD12" s="67"/>
    </row>
    <row r="13" spans="1:31" s="24" customFormat="1" ht="9.6" customHeight="1" thickBot="1">
      <c r="A13" s="48"/>
      <c r="B13" s="51"/>
      <c r="E13" s="49"/>
      <c r="F13" s="50"/>
      <c r="G13" s="50"/>
      <c r="H13" s="50"/>
      <c r="I13" s="50"/>
      <c r="J13" s="50"/>
      <c r="K13" s="50"/>
      <c r="L13" s="50"/>
      <c r="M13" s="50"/>
      <c r="N13" s="50"/>
      <c r="O13" s="50"/>
      <c r="T13" s="83"/>
      <c r="U13" s="83"/>
      <c r="V13" s="83"/>
      <c r="W13" s="83"/>
      <c r="X13" s="83"/>
      <c r="Y13" s="83"/>
    </row>
    <row r="14" spans="1:31" s="36" customFormat="1" ht="72" customHeight="1" thickBot="1">
      <c r="A14" s="203" t="s">
        <v>339</v>
      </c>
      <c r="B14" s="204"/>
      <c r="C14" s="204"/>
      <c r="D14" s="205"/>
      <c r="E14" s="81"/>
      <c r="F14" s="206"/>
      <c r="G14" s="207"/>
      <c r="H14" s="207"/>
      <c r="I14" s="207"/>
      <c r="J14" s="207"/>
      <c r="K14" s="207"/>
      <c r="L14" s="207"/>
      <c r="M14" s="207"/>
      <c r="N14" s="208"/>
      <c r="O14" s="206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8"/>
      <c r="AE14" s="82"/>
    </row>
    <row r="15" spans="1:31" ht="9.6" customHeight="1">
      <c r="A15" s="5"/>
    </row>
    <row r="16" spans="1:31" s="26" customFormat="1">
      <c r="A16" s="25"/>
      <c r="U16" s="33"/>
    </row>
    <row r="17" spans="1:25" s="25" customFormat="1" ht="18.600000000000001" customHeight="1">
      <c r="A17" s="27" t="s">
        <v>31</v>
      </c>
      <c r="B17" s="27" t="s">
        <v>30</v>
      </c>
      <c r="C17" s="28" t="s">
        <v>15</v>
      </c>
      <c r="D17" s="28" t="s">
        <v>16</v>
      </c>
      <c r="E17" s="41" t="s">
        <v>2</v>
      </c>
      <c r="F17" s="28" t="s">
        <v>3</v>
      </c>
      <c r="G17" s="28" t="s">
        <v>4</v>
      </c>
      <c r="H17" s="28" t="s">
        <v>5</v>
      </c>
      <c r="I17" s="28" t="s">
        <v>6</v>
      </c>
      <c r="J17" s="28" t="s">
        <v>7</v>
      </c>
      <c r="K17" s="27"/>
      <c r="L17" s="27" t="s">
        <v>31</v>
      </c>
      <c r="M17" s="27" t="s">
        <v>30</v>
      </c>
      <c r="N17" s="28" t="s">
        <v>15</v>
      </c>
      <c r="O17" s="28" t="s">
        <v>16</v>
      </c>
      <c r="P17" s="28" t="s">
        <v>8</v>
      </c>
      <c r="Q17" s="28" t="s">
        <v>9</v>
      </c>
      <c r="R17" s="28" t="s">
        <v>3</v>
      </c>
      <c r="S17" s="28" t="s">
        <v>10</v>
      </c>
      <c r="T17" s="28" t="s">
        <v>11</v>
      </c>
      <c r="U17" s="34" t="s">
        <v>4</v>
      </c>
      <c r="V17" s="65" t="s">
        <v>274</v>
      </c>
      <c r="Y17" s="65" t="s">
        <v>84</v>
      </c>
    </row>
    <row r="18" spans="1:25" s="31" customFormat="1" ht="18.600000000000001" customHeight="1">
      <c r="A18" s="28">
        <v>1</v>
      </c>
      <c r="B18" s="42" t="s">
        <v>12</v>
      </c>
      <c r="C18" s="71">
        <v>4</v>
      </c>
      <c r="D18" s="71">
        <v>1</v>
      </c>
      <c r="E18" s="42" t="s">
        <v>303</v>
      </c>
      <c r="F18" s="29"/>
      <c r="G18" s="29"/>
      <c r="H18" s="29"/>
      <c r="I18" s="29"/>
      <c r="J18" s="30" t="str">
        <f>IF(F18&gt;0,F18/G18*100,"")</f>
        <v/>
      </c>
      <c r="K18" s="29"/>
      <c r="L18" s="28">
        <v>1</v>
      </c>
      <c r="M18" s="42" t="s">
        <v>292</v>
      </c>
      <c r="N18" s="38">
        <v>4</v>
      </c>
      <c r="O18" s="38">
        <v>2</v>
      </c>
      <c r="P18" s="40">
        <f>(MOD(U18,6)*0.1)+INT(U18/6)</f>
        <v>0</v>
      </c>
      <c r="Q18" s="29"/>
      <c r="R18" s="29"/>
      <c r="S18" s="29"/>
      <c r="T18" s="30" t="str">
        <f>IF(R18&gt;0,R18/P18,"")</f>
        <v/>
      </c>
      <c r="U18" s="35"/>
    </row>
    <row r="19" spans="1:25" s="31" customFormat="1" ht="18.600000000000001" customHeight="1">
      <c r="A19" s="28">
        <v>2</v>
      </c>
      <c r="B19" s="42" t="s">
        <v>258</v>
      </c>
      <c r="C19" s="71">
        <v>4</v>
      </c>
      <c r="D19" s="71">
        <v>1</v>
      </c>
      <c r="E19" s="42" t="s">
        <v>303</v>
      </c>
      <c r="F19" s="29"/>
      <c r="G19" s="29"/>
      <c r="H19" s="29"/>
      <c r="I19" s="29"/>
      <c r="J19" s="30" t="str">
        <f>IF(F19&gt;0,F19/G19*100,"")</f>
        <v/>
      </c>
      <c r="K19" s="29"/>
      <c r="L19" s="28">
        <v>2</v>
      </c>
      <c r="M19" s="42" t="s">
        <v>291</v>
      </c>
      <c r="N19" s="38">
        <v>4</v>
      </c>
      <c r="O19" s="38">
        <v>1</v>
      </c>
      <c r="P19" s="40">
        <f t="shared" ref="P19:P28" si="0">(MOD(U19,6)*0.1)+INT(U19/6)</f>
        <v>0</v>
      </c>
      <c r="Q19" s="29"/>
      <c r="R19" s="29"/>
      <c r="S19" s="29"/>
      <c r="T19" s="30" t="str">
        <f t="shared" ref="T19:T29" si="1">IF(R19&gt;0,R19/P19,"")</f>
        <v/>
      </c>
      <c r="U19" s="35"/>
    </row>
    <row r="20" spans="1:25" s="31" customFormat="1" ht="18.600000000000001" customHeight="1">
      <c r="A20" s="28">
        <v>3</v>
      </c>
      <c r="B20" s="42" t="s">
        <v>91</v>
      </c>
      <c r="C20" s="71">
        <v>5</v>
      </c>
      <c r="D20" s="71">
        <v>1</v>
      </c>
      <c r="E20" s="42"/>
      <c r="F20" s="29"/>
      <c r="G20" s="29"/>
      <c r="H20" s="29"/>
      <c r="I20" s="29"/>
      <c r="J20" s="30" t="str">
        <f t="shared" ref="J20:J28" si="2">IF(F20&gt;0,F20/G20*100,"")</f>
        <v/>
      </c>
      <c r="K20" s="29"/>
      <c r="L20" s="28">
        <v>3</v>
      </c>
      <c r="M20" s="42" t="s">
        <v>13</v>
      </c>
      <c r="N20" s="38">
        <v>5</v>
      </c>
      <c r="O20" s="38">
        <v>1</v>
      </c>
      <c r="P20" s="40">
        <f t="shared" si="0"/>
        <v>0</v>
      </c>
      <c r="Q20" s="29"/>
      <c r="R20" s="29"/>
      <c r="S20" s="29"/>
      <c r="T20" s="30" t="str">
        <f t="shared" si="1"/>
        <v/>
      </c>
      <c r="U20" s="35"/>
    </row>
    <row r="21" spans="1:25" s="31" customFormat="1" ht="18.600000000000001" customHeight="1">
      <c r="A21" s="28">
        <v>4</v>
      </c>
      <c r="B21" s="42" t="s">
        <v>159</v>
      </c>
      <c r="C21" s="71">
        <v>3</v>
      </c>
      <c r="D21" s="71">
        <v>1</v>
      </c>
      <c r="E21" s="42"/>
      <c r="F21" s="29"/>
      <c r="G21" s="29"/>
      <c r="H21" s="29"/>
      <c r="I21" s="29"/>
      <c r="J21" s="30" t="str">
        <f t="shared" si="2"/>
        <v/>
      </c>
      <c r="K21" s="29"/>
      <c r="L21" s="28">
        <v>4</v>
      </c>
      <c r="M21" s="42" t="s">
        <v>293</v>
      </c>
      <c r="N21" s="38">
        <v>3</v>
      </c>
      <c r="O21" s="38">
        <v>1</v>
      </c>
      <c r="P21" s="40">
        <f t="shared" si="0"/>
        <v>0</v>
      </c>
      <c r="Q21" s="29"/>
      <c r="R21" s="29"/>
      <c r="S21" s="29"/>
      <c r="T21" s="30" t="str">
        <f t="shared" si="1"/>
        <v/>
      </c>
      <c r="U21" s="35"/>
    </row>
    <row r="22" spans="1:25" s="31" customFormat="1" ht="18.600000000000001" customHeight="1">
      <c r="A22" s="28">
        <v>5</v>
      </c>
      <c r="B22" s="42" t="s">
        <v>286</v>
      </c>
      <c r="C22" s="71">
        <v>3</v>
      </c>
      <c r="D22" s="71">
        <v>1</v>
      </c>
      <c r="E22" s="42"/>
      <c r="F22" s="29"/>
      <c r="G22" s="29"/>
      <c r="H22" s="29"/>
      <c r="I22" s="29"/>
      <c r="J22" s="30" t="str">
        <f t="shared" si="2"/>
        <v/>
      </c>
      <c r="K22" s="29"/>
      <c r="L22" s="28">
        <v>5</v>
      </c>
      <c r="M22" s="42" t="s">
        <v>294</v>
      </c>
      <c r="N22" s="38">
        <v>3</v>
      </c>
      <c r="O22" s="38">
        <v>1</v>
      </c>
      <c r="P22" s="40">
        <f t="shared" si="0"/>
        <v>0</v>
      </c>
      <c r="Q22" s="29"/>
      <c r="R22" s="29"/>
      <c r="S22" s="29"/>
      <c r="T22" s="30" t="str">
        <f t="shared" si="1"/>
        <v/>
      </c>
      <c r="U22" s="35"/>
    </row>
    <row r="23" spans="1:25" s="31" customFormat="1" ht="18.600000000000001" customHeight="1">
      <c r="A23" s="28">
        <v>6</v>
      </c>
      <c r="B23" s="42" t="s">
        <v>92</v>
      </c>
      <c r="C23" s="71">
        <v>3</v>
      </c>
      <c r="D23" s="71">
        <v>4</v>
      </c>
      <c r="E23" s="42"/>
      <c r="F23" s="29"/>
      <c r="G23" s="29"/>
      <c r="H23" s="29"/>
      <c r="I23" s="29"/>
      <c r="J23" s="30" t="str">
        <f t="shared" si="2"/>
        <v/>
      </c>
      <c r="K23" s="29"/>
      <c r="L23" s="28">
        <v>6</v>
      </c>
      <c r="M23" s="42" t="s">
        <v>295</v>
      </c>
      <c r="N23" s="38">
        <v>2</v>
      </c>
      <c r="O23" s="38">
        <v>2</v>
      </c>
      <c r="P23" s="40">
        <f t="shared" si="0"/>
        <v>0</v>
      </c>
      <c r="Q23" s="29"/>
      <c r="R23" s="29"/>
      <c r="S23" s="29"/>
      <c r="T23" s="30" t="str">
        <f t="shared" si="1"/>
        <v/>
      </c>
      <c r="U23" s="35"/>
    </row>
    <row r="24" spans="1:25" s="31" customFormat="1" ht="18.600000000000001" customHeight="1">
      <c r="A24" s="28">
        <v>7</v>
      </c>
      <c r="B24" s="42" t="s">
        <v>287</v>
      </c>
      <c r="C24" s="71">
        <v>3</v>
      </c>
      <c r="D24" s="71" t="s">
        <v>23</v>
      </c>
      <c r="E24" s="42"/>
      <c r="F24" s="29"/>
      <c r="G24" s="29"/>
      <c r="H24" s="29"/>
      <c r="I24" s="29"/>
      <c r="J24" s="30" t="str">
        <f t="shared" si="2"/>
        <v/>
      </c>
      <c r="K24" s="29"/>
      <c r="L24" s="28">
        <v>7</v>
      </c>
      <c r="M24" s="42" t="s">
        <v>296</v>
      </c>
      <c r="N24" s="38">
        <v>3</v>
      </c>
      <c r="O24" s="38" t="s">
        <v>23</v>
      </c>
      <c r="P24" s="40">
        <f t="shared" si="0"/>
        <v>0</v>
      </c>
      <c r="Q24" s="29"/>
      <c r="R24" s="29"/>
      <c r="S24" s="29"/>
      <c r="T24" s="30" t="str">
        <f t="shared" si="1"/>
        <v/>
      </c>
      <c r="U24" s="35"/>
    </row>
    <row r="25" spans="1:25" s="31" customFormat="1" ht="18.600000000000001" customHeight="1">
      <c r="A25" s="28">
        <v>8</v>
      </c>
      <c r="B25" s="42" t="s">
        <v>288</v>
      </c>
      <c r="C25" s="71">
        <v>1</v>
      </c>
      <c r="D25" s="71">
        <v>3</v>
      </c>
      <c r="E25" s="42"/>
      <c r="F25" s="29"/>
      <c r="G25" s="29"/>
      <c r="H25" s="29"/>
      <c r="I25" s="29"/>
      <c r="J25" s="30" t="str">
        <f t="shared" si="2"/>
        <v/>
      </c>
      <c r="K25" s="29"/>
      <c r="L25" s="28">
        <v>8</v>
      </c>
      <c r="M25" s="42" t="s">
        <v>297</v>
      </c>
      <c r="N25" s="38">
        <v>3</v>
      </c>
      <c r="O25" s="38">
        <v>5</v>
      </c>
      <c r="P25" s="40">
        <f t="shared" si="0"/>
        <v>0</v>
      </c>
      <c r="Q25" s="29"/>
      <c r="R25" s="29"/>
      <c r="S25" s="29"/>
      <c r="T25" s="30" t="str">
        <f t="shared" si="1"/>
        <v/>
      </c>
      <c r="U25" s="35"/>
    </row>
    <row r="26" spans="1:25" s="31" customFormat="1" ht="18.600000000000001" customHeight="1">
      <c r="A26" s="28">
        <v>9</v>
      </c>
      <c r="B26" s="42" t="s">
        <v>289</v>
      </c>
      <c r="C26" s="71">
        <v>1</v>
      </c>
      <c r="D26" s="71">
        <v>3</v>
      </c>
      <c r="E26" s="42"/>
      <c r="F26" s="29"/>
      <c r="G26" s="29"/>
      <c r="H26" s="29"/>
      <c r="I26" s="29"/>
      <c r="J26" s="30" t="str">
        <f t="shared" si="2"/>
        <v/>
      </c>
      <c r="K26" s="29"/>
      <c r="L26" s="28">
        <v>9</v>
      </c>
      <c r="M26" s="42" t="s">
        <v>298</v>
      </c>
      <c r="N26" s="38">
        <v>1</v>
      </c>
      <c r="O26" s="38">
        <v>4</v>
      </c>
      <c r="P26" s="40">
        <f t="shared" si="0"/>
        <v>0</v>
      </c>
      <c r="Q26" s="29"/>
      <c r="R26" s="29"/>
      <c r="S26" s="29"/>
      <c r="T26" s="30" t="str">
        <f t="shared" si="1"/>
        <v/>
      </c>
      <c r="U26" s="35"/>
    </row>
    <row r="27" spans="1:25" s="31" customFormat="1" ht="18.600000000000001" customHeight="1">
      <c r="A27" s="28">
        <v>10</v>
      </c>
      <c r="B27" s="42" t="s">
        <v>14</v>
      </c>
      <c r="C27" s="71">
        <v>1</v>
      </c>
      <c r="D27" s="71">
        <v>5</v>
      </c>
      <c r="E27" s="42"/>
      <c r="F27" s="29"/>
      <c r="G27" s="29"/>
      <c r="H27" s="29"/>
      <c r="I27" s="29"/>
      <c r="J27" s="30" t="str">
        <f t="shared" si="2"/>
        <v/>
      </c>
      <c r="K27" s="29"/>
      <c r="L27" s="28">
        <v>10</v>
      </c>
      <c r="M27" s="42" t="s">
        <v>299</v>
      </c>
      <c r="N27" s="38">
        <v>1</v>
      </c>
      <c r="O27" s="38">
        <v>4</v>
      </c>
      <c r="P27" s="40">
        <f t="shared" si="0"/>
        <v>0</v>
      </c>
      <c r="Q27" s="29"/>
      <c r="R27" s="29"/>
      <c r="S27" s="29"/>
      <c r="T27" s="30" t="str">
        <f t="shared" si="1"/>
        <v/>
      </c>
      <c r="U27" s="35"/>
    </row>
    <row r="28" spans="1:25" s="31" customFormat="1" ht="18.600000000000001" customHeight="1">
      <c r="A28" s="28">
        <v>11</v>
      </c>
      <c r="B28" s="42" t="s">
        <v>290</v>
      </c>
      <c r="C28" s="71">
        <v>1</v>
      </c>
      <c r="D28" s="71">
        <v>4</v>
      </c>
      <c r="E28" s="42"/>
      <c r="F28" s="29"/>
      <c r="G28" s="29"/>
      <c r="H28" s="29"/>
      <c r="I28" s="29"/>
      <c r="J28" s="30" t="str">
        <f t="shared" si="2"/>
        <v/>
      </c>
      <c r="K28" s="29"/>
      <c r="L28" s="28">
        <v>11</v>
      </c>
      <c r="M28" s="42" t="s">
        <v>300</v>
      </c>
      <c r="N28" s="38">
        <v>1</v>
      </c>
      <c r="O28" s="38">
        <v>3</v>
      </c>
      <c r="P28" s="40">
        <f t="shared" si="0"/>
        <v>0</v>
      </c>
      <c r="Q28" s="29"/>
      <c r="R28" s="29"/>
      <c r="S28" s="29"/>
      <c r="T28" s="30" t="str">
        <f t="shared" si="1"/>
        <v/>
      </c>
      <c r="U28" s="35"/>
    </row>
    <row r="29" spans="1:25" s="55" customFormat="1">
      <c r="A29" s="54"/>
      <c r="F29" s="55">
        <f>SUM(F18:F28)</f>
        <v>0</v>
      </c>
      <c r="P29" s="56">
        <f>SUM(P18:P28)</f>
        <v>0</v>
      </c>
      <c r="S29" s="55">
        <f>SUM(S18:S28)</f>
        <v>0</v>
      </c>
      <c r="T29" s="55" t="str">
        <f t="shared" si="1"/>
        <v/>
      </c>
      <c r="U29" s="57"/>
    </row>
    <row r="30" spans="1:25" s="26" customFormat="1">
      <c r="A30" s="25"/>
      <c r="U30" s="33"/>
    </row>
    <row r="31" spans="1:25" s="24" customFormat="1">
      <c r="A31" s="48"/>
      <c r="U31" s="64"/>
    </row>
    <row r="32" spans="1:25" s="24" customFormat="1">
      <c r="A32" s="48"/>
      <c r="U32" s="64"/>
    </row>
    <row r="36" spans="1:21" s="96" customFormat="1">
      <c r="A36" s="99"/>
      <c r="B36" t="s">
        <v>99</v>
      </c>
      <c r="C36" t="s">
        <v>100</v>
      </c>
      <c r="D36"/>
      <c r="G36"/>
      <c r="H36"/>
      <c r="I36"/>
      <c r="U36" s="32"/>
    </row>
    <row r="37" spans="1:21">
      <c r="B37" t="s">
        <v>14</v>
      </c>
      <c r="C37">
        <v>0</v>
      </c>
    </row>
    <row r="38" spans="1:21">
      <c r="B38" t="s">
        <v>289</v>
      </c>
      <c r="C38">
        <v>0</v>
      </c>
    </row>
    <row r="39" spans="1:21">
      <c r="B39" t="s">
        <v>288</v>
      </c>
      <c r="C39">
        <v>0</v>
      </c>
    </row>
    <row r="40" spans="1:21">
      <c r="B40" t="s">
        <v>92</v>
      </c>
      <c r="C40">
        <v>0</v>
      </c>
    </row>
    <row r="41" spans="1:21">
      <c r="B41" t="s">
        <v>290</v>
      </c>
      <c r="C41">
        <v>0</v>
      </c>
    </row>
    <row r="42" spans="1:21">
      <c r="B42" t="s">
        <v>298</v>
      </c>
    </row>
    <row r="74" spans="2:2">
      <c r="B74" t="s">
        <v>95</v>
      </c>
    </row>
  </sheetData>
  <mergeCells count="12">
    <mergeCell ref="F2:H2"/>
    <mergeCell ref="N2:P2"/>
    <mergeCell ref="J2:L2"/>
    <mergeCell ref="T3:AD3"/>
    <mergeCell ref="A14:D14"/>
    <mergeCell ref="F14:N14"/>
    <mergeCell ref="O14:AD14"/>
    <mergeCell ref="T9:AD9"/>
    <mergeCell ref="T5:U5"/>
    <mergeCell ref="Z5:AA5"/>
    <mergeCell ref="T7:U7"/>
    <mergeCell ref="Z7:AA7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cmdBowl">
          <controlPr defaultSize="0" autoLine="0" autoPict="0" r:id="rId5">
            <anchor moveWithCells="1">
              <from>
                <xdr:col>1</xdr:col>
                <xdr:colOff>38100</xdr:colOff>
                <xdr:row>4</xdr:row>
                <xdr:rowOff>381000</xdr:rowOff>
              </from>
              <to>
                <xdr:col>3</xdr:col>
                <xdr:colOff>15240</xdr:colOff>
                <xdr:row>6</xdr:row>
                <xdr:rowOff>106680</xdr:rowOff>
              </to>
            </anchor>
          </controlPr>
        </control>
      </mc:Choice>
      <mc:Fallback>
        <control shapeId="1028" r:id="rId4" name="cmdBowl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335280</xdr:colOff>
                <xdr:row>7</xdr:row>
                <xdr:rowOff>22860</xdr:rowOff>
              </from>
              <to>
                <xdr:col>3</xdr:col>
                <xdr:colOff>0</xdr:colOff>
                <xdr:row>8</xdr:row>
                <xdr:rowOff>205740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9" r:id="rId8" name="cmdReset">
          <controlPr defaultSize="0" autoLine="0" r:id="rId9">
            <anchor moveWithCells="1">
              <from>
                <xdr:col>1</xdr:col>
                <xdr:colOff>266700</xdr:colOff>
                <xdr:row>9</xdr:row>
                <xdr:rowOff>38100</xdr:rowOff>
              </from>
              <to>
                <xdr:col>2</xdr:col>
                <xdr:colOff>83820</xdr:colOff>
                <xdr:row>11</xdr:row>
                <xdr:rowOff>190500</xdr:rowOff>
              </to>
            </anchor>
          </controlPr>
        </control>
      </mc:Choice>
      <mc:Fallback>
        <control shapeId="1029" r:id="rId8" name="cmdRes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3EDC5-6A45-4013-91B8-84BFCA14FD43}">
  <sheetPr codeName="Sheet2"/>
  <dimension ref="A1:AF59"/>
  <sheetViews>
    <sheetView topLeftCell="B16" zoomScale="99" zoomScaleNormal="99" workbookViewId="0">
      <selection activeCell="L33" sqref="L33"/>
    </sheetView>
  </sheetViews>
  <sheetFormatPr defaultRowHeight="14.4"/>
  <cols>
    <col min="1" max="1" width="8.88671875" style="2"/>
    <col min="2" max="2" width="73.88671875" style="2" bestFit="1" customWidth="1"/>
    <col min="3" max="3" width="2.44140625" style="2" customWidth="1"/>
    <col min="4" max="4" width="4.6640625" style="2" bestFit="1" customWidth="1"/>
    <col min="5" max="5" width="8.88671875" style="2"/>
    <col min="6" max="6" width="6.77734375" style="2" bestFit="1" customWidth="1"/>
    <col min="7" max="7" width="8.88671875" style="2"/>
    <col min="8" max="8" width="6.6640625" style="2" bestFit="1" customWidth="1"/>
    <col min="9" max="9" width="17" style="2" customWidth="1"/>
    <col min="10" max="19" width="5.33203125" style="2" customWidth="1"/>
    <col min="20" max="16384" width="8.88671875" style="2"/>
  </cols>
  <sheetData>
    <row r="1" spans="1:32">
      <c r="B1" s="4" t="s">
        <v>22</v>
      </c>
      <c r="D1" s="4" t="s">
        <v>19</v>
      </c>
      <c r="E1" s="4"/>
      <c r="F1" s="4" t="s">
        <v>21</v>
      </c>
      <c r="G1" s="4"/>
      <c r="H1" s="4" t="s">
        <v>20</v>
      </c>
      <c r="J1" s="4" t="s">
        <v>83</v>
      </c>
      <c r="L1" s="4"/>
    </row>
    <row r="2" spans="1:32">
      <c r="A2" s="2">
        <v>0</v>
      </c>
      <c r="B2" s="3" t="s">
        <v>50</v>
      </c>
      <c r="C2"/>
      <c r="D2" s="1">
        <v>-1</v>
      </c>
      <c r="E2" s="1"/>
      <c r="F2" s="1" t="s">
        <v>0</v>
      </c>
      <c r="G2" s="1"/>
      <c r="H2" s="1">
        <v>1</v>
      </c>
      <c r="I2"/>
      <c r="J2" s="5"/>
      <c r="K2" s="98">
        <v>-1</v>
      </c>
      <c r="L2" s="98">
        <v>0</v>
      </c>
      <c r="M2" s="98">
        <v>1</v>
      </c>
      <c r="N2" s="98">
        <v>2</v>
      </c>
      <c r="O2" s="98">
        <v>3</v>
      </c>
      <c r="P2" s="98">
        <v>4</v>
      </c>
      <c r="Q2" s="98">
        <v>5</v>
      </c>
      <c r="R2" s="98">
        <v>6</v>
      </c>
      <c r="S2" s="5"/>
      <c r="AC2"/>
      <c r="AD2"/>
      <c r="AE2"/>
      <c r="AF2"/>
    </row>
    <row r="3" spans="1:32" ht="14.4" customHeight="1">
      <c r="A3" s="2">
        <v>0</v>
      </c>
      <c r="B3" s="3" t="s">
        <v>51</v>
      </c>
      <c r="C3"/>
      <c r="D3" s="1">
        <v>0</v>
      </c>
      <c r="E3" s="1"/>
      <c r="F3" s="1" t="s">
        <v>0</v>
      </c>
      <c r="G3" s="1"/>
      <c r="H3" s="1">
        <v>1</v>
      </c>
      <c r="I3" s="134"/>
      <c r="J3" s="97" t="s">
        <v>110</v>
      </c>
      <c r="K3">
        <v>0</v>
      </c>
      <c r="L3">
        <v>1.6760884657344044</v>
      </c>
      <c r="M3">
        <v>63.915124466924517</v>
      </c>
      <c r="N3">
        <v>82.595580680353066</v>
      </c>
      <c r="O3">
        <v>86.098166220370913</v>
      </c>
      <c r="P3">
        <v>87.265694733710191</v>
      </c>
      <c r="Q3">
        <v>99.107408509372192</v>
      </c>
      <c r="R3">
        <v>99.107408509372192</v>
      </c>
      <c r="S3" s="5">
        <v>99.999999999999986</v>
      </c>
    </row>
    <row r="4" spans="1:32" ht="14.4" customHeight="1">
      <c r="A4" s="2">
        <v>0</v>
      </c>
      <c r="B4" s="3" t="s">
        <v>52</v>
      </c>
      <c r="C4"/>
      <c r="D4" s="1">
        <v>0</v>
      </c>
      <c r="E4" s="1"/>
      <c r="F4" s="1" t="s">
        <v>0</v>
      </c>
      <c r="G4" s="1"/>
      <c r="H4" s="1">
        <v>1</v>
      </c>
      <c r="I4" s="134"/>
      <c r="J4" s="181" t="s">
        <v>109</v>
      </c>
      <c r="K4" s="238">
        <v>0</v>
      </c>
      <c r="L4" s="238">
        <v>0.89181286549707606</v>
      </c>
      <c r="M4" s="238">
        <v>71.655058479532173</v>
      </c>
      <c r="N4" s="238">
        <v>86.952657894736845</v>
      </c>
      <c r="O4" s="238">
        <v>91.323400584795323</v>
      </c>
      <c r="P4" s="238">
        <v>93.508771929824562</v>
      </c>
      <c r="Q4" s="238">
        <v>99.67836257309942</v>
      </c>
      <c r="R4" s="238">
        <v>99.67836257309942</v>
      </c>
      <c r="S4" s="240">
        <v>100</v>
      </c>
    </row>
    <row r="5" spans="1:32">
      <c r="A5" s="2">
        <v>0</v>
      </c>
      <c r="B5" s="3" t="s">
        <v>53</v>
      </c>
      <c r="C5"/>
      <c r="D5" s="1">
        <v>0</v>
      </c>
      <c r="E5" s="1"/>
      <c r="F5" s="1" t="s">
        <v>0</v>
      </c>
      <c r="G5" s="1"/>
      <c r="H5" s="1">
        <v>2</v>
      </c>
      <c r="I5" s="134"/>
      <c r="J5" s="97" t="s">
        <v>108</v>
      </c>
      <c r="K5">
        <v>0</v>
      </c>
      <c r="L5">
        <v>1.6464131713053705</v>
      </c>
      <c r="M5">
        <v>75.546413171305375</v>
      </c>
      <c r="N5">
        <v>88.374102966157054</v>
      </c>
      <c r="O5">
        <v>92.039157193257537</v>
      </c>
      <c r="P5">
        <v>93.871684306807779</v>
      </c>
      <c r="Q5">
        <v>99.830131974389118</v>
      </c>
      <c r="R5">
        <v>99.830131974389118</v>
      </c>
      <c r="S5" s="5">
        <v>99.999999999999986</v>
      </c>
    </row>
    <row r="6" spans="1:32">
      <c r="A6" s="2">
        <v>0</v>
      </c>
      <c r="B6" s="3" t="s">
        <v>54</v>
      </c>
      <c r="C6"/>
      <c r="D6" s="1">
        <v>0</v>
      </c>
      <c r="E6" s="1"/>
      <c r="F6" s="1" t="s">
        <v>0</v>
      </c>
      <c r="G6" s="1"/>
      <c r="H6" s="1">
        <v>2</v>
      </c>
      <c r="I6" s="134"/>
      <c r="J6" s="97" t="s">
        <v>107</v>
      </c>
      <c r="K6">
        <v>0</v>
      </c>
      <c r="L6">
        <v>1.03531360590317</v>
      </c>
      <c r="M6">
        <v>75.654687147052186</v>
      </c>
      <c r="N6">
        <v>89.802535577140276</v>
      </c>
      <c r="O6">
        <v>93.575295158497099</v>
      </c>
      <c r="P6">
        <v>94.518485053836301</v>
      </c>
      <c r="Q6">
        <v>99.958587455763862</v>
      </c>
      <c r="R6">
        <v>99.958587455763862</v>
      </c>
      <c r="S6" s="5">
        <v>99.999999999999986</v>
      </c>
    </row>
    <row r="7" spans="1:32">
      <c r="A7" s="2">
        <v>0</v>
      </c>
      <c r="B7" s="3" t="s">
        <v>55</v>
      </c>
      <c r="C7"/>
      <c r="D7" s="1">
        <v>0</v>
      </c>
      <c r="E7" s="1"/>
      <c r="F7" s="1" t="s">
        <v>0</v>
      </c>
      <c r="G7" s="1"/>
      <c r="H7" s="1">
        <v>3</v>
      </c>
      <c r="I7" s="134"/>
      <c r="J7" s="241" t="s">
        <v>106</v>
      </c>
      <c r="K7" s="242">
        <v>0</v>
      </c>
      <c r="L7" s="242">
        <v>1.7427385892116183</v>
      </c>
      <c r="M7" s="242">
        <v>82.313692946058083</v>
      </c>
      <c r="N7" s="242">
        <v>92.08</v>
      </c>
      <c r="O7" s="242">
        <v>94.870373443983397</v>
      </c>
      <c r="P7" s="242">
        <v>96.265560165975103</v>
      </c>
      <c r="Q7" s="242">
        <v>99.972337482710927</v>
      </c>
      <c r="R7" s="242">
        <v>99.972337482710927</v>
      </c>
      <c r="S7" s="243">
        <v>100</v>
      </c>
      <c r="T7" s="2" t="s">
        <v>336</v>
      </c>
    </row>
    <row r="8" spans="1:32" ht="14.4" customHeight="1">
      <c r="A8" s="2">
        <v>0</v>
      </c>
      <c r="B8" s="3" t="s">
        <v>56</v>
      </c>
      <c r="C8"/>
      <c r="D8" s="1">
        <v>0</v>
      </c>
      <c r="E8" s="1"/>
      <c r="F8" s="1" t="s">
        <v>1</v>
      </c>
      <c r="G8" s="1"/>
      <c r="H8" s="1">
        <v>3</v>
      </c>
      <c r="I8" s="134"/>
      <c r="J8" s="97" t="s">
        <v>111</v>
      </c>
      <c r="K8">
        <v>0</v>
      </c>
      <c r="L8">
        <v>3.3140016570008286</v>
      </c>
      <c r="M8">
        <v>82.016404308202155</v>
      </c>
      <c r="N8">
        <v>91.212212096106043</v>
      </c>
      <c r="O8">
        <v>93.839585749792874</v>
      </c>
      <c r="P8">
        <v>95.153272576636283</v>
      </c>
      <c r="Q8">
        <v>99.627174813587402</v>
      </c>
      <c r="R8">
        <v>99.627174813587402</v>
      </c>
      <c r="S8" s="5">
        <v>100</v>
      </c>
    </row>
    <row r="9" spans="1:32" ht="14.4" customHeight="1">
      <c r="A9" s="2">
        <v>0</v>
      </c>
      <c r="B9" s="3" t="s">
        <v>57</v>
      </c>
      <c r="C9"/>
      <c r="D9" s="1">
        <v>1</v>
      </c>
      <c r="E9" s="1"/>
      <c r="F9" s="1" t="s">
        <v>1</v>
      </c>
      <c r="G9" s="1"/>
      <c r="H9" s="1">
        <v>4</v>
      </c>
      <c r="I9" s="134"/>
      <c r="J9" s="97" t="s">
        <v>112</v>
      </c>
      <c r="K9">
        <v>0</v>
      </c>
      <c r="L9">
        <v>6.9060773480662982</v>
      </c>
      <c r="M9">
        <v>80.450276243093924</v>
      </c>
      <c r="N9">
        <v>86.910220994475139</v>
      </c>
      <c r="O9">
        <v>90.786187845303871</v>
      </c>
      <c r="P9">
        <v>93.370165745856355</v>
      </c>
      <c r="Q9">
        <v>99.585635359116026</v>
      </c>
      <c r="R9">
        <v>99.585635359116026</v>
      </c>
      <c r="S9" s="5">
        <v>100</v>
      </c>
    </row>
    <row r="10" spans="1:32">
      <c r="A10" s="2">
        <v>0</v>
      </c>
      <c r="B10" s="3" t="s">
        <v>58</v>
      </c>
      <c r="C10"/>
      <c r="D10" s="1">
        <v>1</v>
      </c>
      <c r="E10" s="1"/>
      <c r="F10" s="1" t="s">
        <v>1</v>
      </c>
      <c r="G10" s="1"/>
      <c r="H10" s="1">
        <v>4</v>
      </c>
      <c r="I10" s="134"/>
      <c r="J10" s="97" t="s">
        <v>113</v>
      </c>
      <c r="K10">
        <v>0</v>
      </c>
      <c r="L10">
        <v>8.1699346405228752</v>
      </c>
      <c r="M10">
        <v>86.225490196078425</v>
      </c>
      <c r="N10">
        <v>92.093137254901947</v>
      </c>
      <c r="O10">
        <v>93.769607843137237</v>
      </c>
      <c r="P10">
        <v>94.607843137254889</v>
      </c>
      <c r="Q10">
        <v>99.183006535947698</v>
      </c>
      <c r="R10">
        <v>99.183006535947698</v>
      </c>
      <c r="S10" s="5">
        <v>99.999999999999986</v>
      </c>
    </row>
    <row r="11" spans="1:32">
      <c r="A11" s="2">
        <v>0</v>
      </c>
      <c r="B11" s="3" t="s">
        <v>59</v>
      </c>
      <c r="C11"/>
      <c r="D11" s="1">
        <v>1</v>
      </c>
      <c r="E11" s="1"/>
      <c r="F11" s="1" t="s">
        <v>1</v>
      </c>
      <c r="G11" s="1"/>
      <c r="H11" s="1">
        <v>5</v>
      </c>
      <c r="I11" s="134"/>
      <c r="J11" s="97" t="s">
        <v>114</v>
      </c>
      <c r="K11">
        <v>0</v>
      </c>
      <c r="L11">
        <v>8.4078711985688734</v>
      </c>
      <c r="M11">
        <v>91.115563506261168</v>
      </c>
      <c r="N11">
        <v>94.39499105545616</v>
      </c>
      <c r="O11">
        <v>96.362647584973161</v>
      </c>
      <c r="P11">
        <v>97.674418604651152</v>
      </c>
      <c r="Q11">
        <v>99.999999999999986</v>
      </c>
      <c r="R11">
        <v>99.999999999999986</v>
      </c>
      <c r="S11" s="5">
        <v>99.999999999999986</v>
      </c>
    </row>
    <row r="12" spans="1:32">
      <c r="A12" s="2">
        <v>0</v>
      </c>
      <c r="B12" s="3" t="s">
        <v>60</v>
      </c>
      <c r="C12"/>
      <c r="D12" s="1">
        <v>1</v>
      </c>
      <c r="E12" s="1"/>
      <c r="F12" s="1" t="s">
        <v>1</v>
      </c>
      <c r="G12" s="1"/>
      <c r="H12" s="1">
        <v>6</v>
      </c>
      <c r="I12"/>
    </row>
    <row r="13" spans="1:32">
      <c r="A13" s="2">
        <v>0</v>
      </c>
      <c r="B13" s="3" t="s">
        <v>61</v>
      </c>
      <c r="C13"/>
      <c r="D13" s="1">
        <v>2</v>
      </c>
      <c r="E13" s="1"/>
      <c r="F13" s="1" t="s">
        <v>1</v>
      </c>
      <c r="G13" s="1"/>
      <c r="H13" s="1">
        <v>7</v>
      </c>
      <c r="I13"/>
    </row>
    <row r="14" spans="1:32">
      <c r="A14" s="2">
        <v>0</v>
      </c>
      <c r="B14" s="3" t="s">
        <v>62</v>
      </c>
      <c r="C14"/>
      <c r="D14" s="1">
        <v>2</v>
      </c>
      <c r="E14" s="1"/>
      <c r="F14" s="1" t="s">
        <v>1</v>
      </c>
      <c r="G14" s="1"/>
      <c r="H14" s="1">
        <v>8</v>
      </c>
      <c r="I14"/>
      <c r="J14" s="4" t="s">
        <v>325</v>
      </c>
    </row>
    <row r="15" spans="1:32">
      <c r="A15" s="2">
        <v>0</v>
      </c>
      <c r="B15" s="3" t="s">
        <v>63</v>
      </c>
      <c r="C15"/>
      <c r="D15" s="1">
        <v>2</v>
      </c>
      <c r="E15" s="1"/>
      <c r="F15" s="1" t="s">
        <v>1</v>
      </c>
      <c r="G15" s="1"/>
      <c r="H15" s="1">
        <v>9</v>
      </c>
      <c r="I15"/>
      <c r="J15" s="5"/>
      <c r="K15" s="98">
        <v>-1</v>
      </c>
      <c r="L15" s="98">
        <v>0</v>
      </c>
      <c r="M15" s="98">
        <v>1</v>
      </c>
      <c r="N15" s="98">
        <v>2</v>
      </c>
      <c r="O15" s="98">
        <v>3</v>
      </c>
      <c r="P15" s="98">
        <v>4</v>
      </c>
      <c r="Q15" s="98">
        <v>5</v>
      </c>
      <c r="R15" s="98">
        <v>6</v>
      </c>
      <c r="S15" s="5"/>
    </row>
    <row r="16" spans="1:32">
      <c r="A16" s="2">
        <v>0</v>
      </c>
      <c r="B16" s="3" t="s">
        <v>64</v>
      </c>
      <c r="C16"/>
      <c r="D16" s="1">
        <v>2</v>
      </c>
      <c r="E16" s="1"/>
      <c r="F16" s="1" t="s">
        <v>1</v>
      </c>
      <c r="G16" s="1"/>
      <c r="H16" s="1">
        <v>10</v>
      </c>
      <c r="I16" s="134"/>
      <c r="J16" s="97" t="s">
        <v>110</v>
      </c>
      <c r="K16" s="2">
        <f>ROUND(AVERAGE(K29,K3),0)</f>
        <v>0</v>
      </c>
      <c r="L16" s="2">
        <f t="shared" ref="L16:R16" si="0">ROUND(AVERAGE(L29,L3),0)</f>
        <v>1</v>
      </c>
      <c r="M16" s="2">
        <f t="shared" si="0"/>
        <v>52</v>
      </c>
      <c r="N16" s="2">
        <f t="shared" si="0"/>
        <v>66</v>
      </c>
      <c r="O16" s="2">
        <f t="shared" si="0"/>
        <v>71</v>
      </c>
      <c r="P16" s="2">
        <f t="shared" si="0"/>
        <v>74</v>
      </c>
      <c r="Q16" s="2">
        <f t="shared" si="0"/>
        <v>90</v>
      </c>
      <c r="R16" s="2">
        <f t="shared" si="0"/>
        <v>90</v>
      </c>
      <c r="S16" s="5">
        <v>99.999999999999986</v>
      </c>
    </row>
    <row r="17" spans="1:20">
      <c r="A17" s="2">
        <v>0</v>
      </c>
      <c r="B17" s="3" t="s">
        <v>65</v>
      </c>
      <c r="C17"/>
      <c r="D17" s="1">
        <v>4</v>
      </c>
      <c r="E17" s="1"/>
      <c r="F17" s="1" t="s">
        <v>1</v>
      </c>
      <c r="G17" s="1"/>
      <c r="H17" s="1">
        <v>11</v>
      </c>
      <c r="I17" s="134"/>
      <c r="J17" s="97" t="s">
        <v>109</v>
      </c>
      <c r="K17" s="2">
        <f t="shared" ref="K17:R17" si="1">ROUND(AVERAGE(K30,K4),0)</f>
        <v>0</v>
      </c>
      <c r="L17" s="2">
        <f t="shared" si="1"/>
        <v>1</v>
      </c>
      <c r="M17" s="2">
        <f t="shared" si="1"/>
        <v>57</v>
      </c>
      <c r="N17" s="2">
        <f t="shared" si="1"/>
        <v>69</v>
      </c>
      <c r="O17" s="2">
        <f t="shared" si="1"/>
        <v>74</v>
      </c>
      <c r="P17" s="2">
        <f t="shared" si="1"/>
        <v>78</v>
      </c>
      <c r="Q17" s="2">
        <f t="shared" si="1"/>
        <v>91</v>
      </c>
      <c r="R17" s="2">
        <f t="shared" si="1"/>
        <v>91</v>
      </c>
      <c r="S17" s="5">
        <v>100</v>
      </c>
    </row>
    <row r="18" spans="1:20">
      <c r="A18" s="2">
        <v>0</v>
      </c>
      <c r="B18" s="3" t="s">
        <v>66</v>
      </c>
      <c r="C18"/>
      <c r="D18" s="1">
        <v>4</v>
      </c>
      <c r="E18" s="1"/>
      <c r="F18" s="1" t="s">
        <v>17</v>
      </c>
      <c r="G18" s="1"/>
      <c r="H18" s="1" t="s">
        <v>23</v>
      </c>
      <c r="I18" s="134"/>
      <c r="J18" s="97" t="s">
        <v>108</v>
      </c>
      <c r="K18" s="2">
        <f t="shared" ref="K18:R18" si="2">ROUND(AVERAGE(K31,K5),0)</f>
        <v>0</v>
      </c>
      <c r="L18" s="2">
        <f t="shared" si="2"/>
        <v>3</v>
      </c>
      <c r="M18" s="2">
        <f t="shared" si="2"/>
        <v>60</v>
      </c>
      <c r="N18" s="2">
        <f t="shared" si="2"/>
        <v>72</v>
      </c>
      <c r="O18" s="2">
        <f t="shared" si="2"/>
        <v>76</v>
      </c>
      <c r="P18" s="2">
        <f t="shared" si="2"/>
        <v>79</v>
      </c>
      <c r="Q18" s="2">
        <f t="shared" si="2"/>
        <v>92</v>
      </c>
      <c r="R18" s="2">
        <f t="shared" si="2"/>
        <v>92</v>
      </c>
      <c r="S18" s="5">
        <v>99.999999999999986</v>
      </c>
    </row>
    <row r="19" spans="1:20">
      <c r="A19" s="2">
        <v>0</v>
      </c>
      <c r="B19" s="3" t="s">
        <v>67</v>
      </c>
      <c r="C19"/>
      <c r="D19" s="1">
        <v>0</v>
      </c>
      <c r="E19" s="1"/>
      <c r="F19" s="1" t="s">
        <v>17</v>
      </c>
      <c r="G19" s="1"/>
      <c r="H19" s="1" t="s">
        <v>23</v>
      </c>
      <c r="I19" s="134"/>
      <c r="J19" s="97" t="s">
        <v>107</v>
      </c>
      <c r="K19" s="2">
        <f t="shared" ref="K19:R19" si="3">ROUND(AVERAGE(K32,K6),0)</f>
        <v>0</v>
      </c>
      <c r="L19" s="2">
        <f t="shared" si="3"/>
        <v>3</v>
      </c>
      <c r="M19" s="2">
        <f t="shared" si="3"/>
        <v>63</v>
      </c>
      <c r="N19" s="2">
        <f t="shared" si="3"/>
        <v>75</v>
      </c>
      <c r="O19" s="2">
        <f t="shared" si="3"/>
        <v>79</v>
      </c>
      <c r="P19" s="2">
        <f t="shared" si="3"/>
        <v>82</v>
      </c>
      <c r="Q19" s="2">
        <f t="shared" si="3"/>
        <v>95</v>
      </c>
      <c r="R19" s="2">
        <f t="shared" si="3"/>
        <v>95</v>
      </c>
      <c r="S19" s="5">
        <v>99.999999999999986</v>
      </c>
    </row>
    <row r="20" spans="1:20">
      <c r="A20" s="2">
        <v>0</v>
      </c>
      <c r="B20" s="3" t="s">
        <v>145</v>
      </c>
      <c r="C20"/>
      <c r="D20" s="1">
        <v>6</v>
      </c>
      <c r="E20" s="1"/>
      <c r="F20" s="1" t="s">
        <v>17</v>
      </c>
      <c r="G20" s="1"/>
      <c r="H20" s="1" t="s">
        <v>23</v>
      </c>
      <c r="I20" s="134"/>
      <c r="J20" s="241" t="s">
        <v>106</v>
      </c>
      <c r="K20" s="244">
        <f t="shared" ref="K20:R20" si="4">ROUND(AVERAGE(K33,K7),0)</f>
        <v>0</v>
      </c>
      <c r="L20" s="244">
        <f t="shared" si="4"/>
        <v>4</v>
      </c>
      <c r="M20" s="244">
        <f t="shared" si="4"/>
        <v>69</v>
      </c>
      <c r="N20" s="244">
        <f t="shared" si="4"/>
        <v>79</v>
      </c>
      <c r="O20" s="244">
        <f t="shared" si="4"/>
        <v>82</v>
      </c>
      <c r="P20" s="244">
        <f t="shared" si="4"/>
        <v>86</v>
      </c>
      <c r="Q20" s="244">
        <f t="shared" si="4"/>
        <v>97</v>
      </c>
      <c r="R20" s="244">
        <f t="shared" si="4"/>
        <v>97</v>
      </c>
      <c r="S20" s="243">
        <v>100</v>
      </c>
      <c r="T20" s="2" t="s">
        <v>336</v>
      </c>
    </row>
    <row r="21" spans="1:20">
      <c r="A21" s="2">
        <v>0</v>
      </c>
      <c r="B21" s="3" t="s">
        <v>68</v>
      </c>
      <c r="C21"/>
      <c r="D21" s="1">
        <v>0</v>
      </c>
      <c r="E21" s="1"/>
      <c r="F21" s="1" t="s">
        <v>17</v>
      </c>
      <c r="G21" s="1"/>
      <c r="H21" s="1" t="s">
        <v>23</v>
      </c>
      <c r="I21" s="134"/>
      <c r="J21" s="97" t="s">
        <v>111</v>
      </c>
      <c r="K21" s="2">
        <f t="shared" ref="K21:R21" si="5">ROUND(AVERAGE(K34,K8),0)</f>
        <v>0</v>
      </c>
      <c r="L21" s="2">
        <f t="shared" si="5"/>
        <v>6</v>
      </c>
      <c r="M21" s="2">
        <f t="shared" si="5"/>
        <v>71</v>
      </c>
      <c r="N21" s="2">
        <f t="shared" si="5"/>
        <v>81</v>
      </c>
      <c r="O21" s="2">
        <f t="shared" si="5"/>
        <v>84</v>
      </c>
      <c r="P21" s="2">
        <f t="shared" si="5"/>
        <v>88</v>
      </c>
      <c r="Q21" s="2">
        <f t="shared" si="5"/>
        <v>97</v>
      </c>
      <c r="R21" s="2">
        <f t="shared" si="5"/>
        <v>97</v>
      </c>
      <c r="S21" s="5">
        <v>100</v>
      </c>
    </row>
    <row r="22" spans="1:20">
      <c r="A22" s="2">
        <v>0</v>
      </c>
      <c r="B22" s="3" t="s">
        <v>48</v>
      </c>
      <c r="D22" s="1">
        <v>0</v>
      </c>
      <c r="E22" s="1"/>
      <c r="F22" s="1" t="s">
        <v>17</v>
      </c>
      <c r="G22" s="1"/>
      <c r="H22" s="1" t="s">
        <v>23</v>
      </c>
      <c r="I22" s="134"/>
      <c r="J22" s="97" t="s">
        <v>112</v>
      </c>
      <c r="K22" s="2">
        <f t="shared" ref="K22:R22" si="6">ROUND(AVERAGE(K35,K9),0)</f>
        <v>0</v>
      </c>
      <c r="L22" s="2">
        <f t="shared" si="6"/>
        <v>9</v>
      </c>
      <c r="M22" s="2">
        <f t="shared" si="6"/>
        <v>73</v>
      </c>
      <c r="N22" s="2">
        <f t="shared" si="6"/>
        <v>81</v>
      </c>
      <c r="O22" s="2">
        <f t="shared" si="6"/>
        <v>85</v>
      </c>
      <c r="P22" s="2">
        <f t="shared" si="6"/>
        <v>89</v>
      </c>
      <c r="Q22" s="2">
        <f t="shared" si="6"/>
        <v>98</v>
      </c>
      <c r="R22" s="2">
        <f t="shared" si="6"/>
        <v>98</v>
      </c>
      <c r="S22" s="5">
        <v>100</v>
      </c>
    </row>
    <row r="23" spans="1:20">
      <c r="A23" s="2">
        <v>0</v>
      </c>
      <c r="B23" s="3" t="s">
        <v>69</v>
      </c>
      <c r="D23" s="1">
        <v>0</v>
      </c>
      <c r="E23" s="1"/>
      <c r="F23" s="1" t="s">
        <v>17</v>
      </c>
      <c r="G23" s="1"/>
      <c r="H23" s="1" t="s">
        <v>23</v>
      </c>
      <c r="I23" s="134"/>
      <c r="J23" s="97" t="s">
        <v>113</v>
      </c>
      <c r="K23" s="2">
        <f t="shared" ref="K23:R23" si="7">ROUND(AVERAGE(K36,K10),0)</f>
        <v>0</v>
      </c>
      <c r="L23" s="2">
        <f t="shared" si="7"/>
        <v>12</v>
      </c>
      <c r="M23" s="2">
        <f t="shared" si="7"/>
        <v>77</v>
      </c>
      <c r="N23" s="2">
        <f t="shared" si="7"/>
        <v>85</v>
      </c>
      <c r="O23" s="2">
        <f t="shared" si="7"/>
        <v>88</v>
      </c>
      <c r="P23" s="2">
        <f t="shared" si="7"/>
        <v>91</v>
      </c>
      <c r="Q23" s="2">
        <f t="shared" si="7"/>
        <v>99</v>
      </c>
      <c r="R23" s="2">
        <f t="shared" si="7"/>
        <v>99</v>
      </c>
      <c r="S23" s="5">
        <v>99.999999999999986</v>
      </c>
    </row>
    <row r="24" spans="1:20">
      <c r="A24" s="2">
        <v>0</v>
      </c>
      <c r="B24" s="3" t="s">
        <v>70</v>
      </c>
      <c r="D24" s="1">
        <v>0</v>
      </c>
      <c r="E24" s="1"/>
      <c r="F24" s="1" t="s">
        <v>18</v>
      </c>
      <c r="G24" s="1"/>
      <c r="H24" s="1" t="s">
        <v>23</v>
      </c>
      <c r="I24" s="134"/>
      <c r="J24" s="97" t="s">
        <v>114</v>
      </c>
      <c r="K24" s="2">
        <f t="shared" ref="K24:R24" si="8">ROUND(AVERAGE(K37,K11),0)</f>
        <v>0</v>
      </c>
      <c r="L24" s="2">
        <f t="shared" si="8"/>
        <v>13</v>
      </c>
      <c r="M24" s="2">
        <f t="shared" si="8"/>
        <v>81</v>
      </c>
      <c r="N24" s="2">
        <f t="shared" si="8"/>
        <v>87</v>
      </c>
      <c r="O24" s="2">
        <f t="shared" si="8"/>
        <v>91</v>
      </c>
      <c r="P24" s="2">
        <f t="shared" si="8"/>
        <v>94</v>
      </c>
      <c r="Q24" s="2">
        <f t="shared" si="8"/>
        <v>100</v>
      </c>
      <c r="R24" s="2">
        <f t="shared" si="8"/>
        <v>100</v>
      </c>
      <c r="S24" s="5">
        <v>99.999999999999986</v>
      </c>
    </row>
    <row r="25" spans="1:20">
      <c r="A25" s="2">
        <v>0</v>
      </c>
      <c r="B25" s="3" t="s">
        <v>70</v>
      </c>
      <c r="D25" s="1">
        <v>1</v>
      </c>
      <c r="E25" s="1"/>
      <c r="F25" s="1" t="s">
        <v>18</v>
      </c>
      <c r="G25" s="1"/>
      <c r="H25" s="1" t="s">
        <v>23</v>
      </c>
    </row>
    <row r="26" spans="1:20">
      <c r="A26" s="2">
        <v>0</v>
      </c>
      <c r="B26" s="3" t="s">
        <v>70</v>
      </c>
      <c r="D26"/>
      <c r="E26"/>
      <c r="F26"/>
      <c r="G26"/>
    </row>
    <row r="27" spans="1:20">
      <c r="A27" s="2">
        <v>0</v>
      </c>
      <c r="B27" s="3" t="s">
        <v>70</v>
      </c>
      <c r="J27" s="4" t="s">
        <v>326</v>
      </c>
    </row>
    <row r="28" spans="1:20">
      <c r="A28" s="2">
        <v>0</v>
      </c>
      <c r="B28" t="s">
        <v>49</v>
      </c>
      <c r="I28"/>
      <c r="J28" s="5"/>
      <c r="K28" s="98">
        <v>-1</v>
      </c>
      <c r="L28" s="98">
        <v>0</v>
      </c>
      <c r="M28" s="98">
        <v>1</v>
      </c>
      <c r="N28" s="98">
        <v>2</v>
      </c>
      <c r="O28" s="98">
        <v>3</v>
      </c>
      <c r="P28" s="98">
        <v>4</v>
      </c>
      <c r="Q28" s="98">
        <v>5</v>
      </c>
      <c r="R28" s="98">
        <v>6</v>
      </c>
      <c r="S28" s="5"/>
    </row>
    <row r="29" spans="1:20">
      <c r="A29" s="2">
        <v>1</v>
      </c>
      <c r="B29" s="3" t="s">
        <v>71</v>
      </c>
      <c r="I29" s="134"/>
      <c r="J29" s="97" t="s">
        <v>110</v>
      </c>
      <c r="K29" s="2">
        <v>0</v>
      </c>
      <c r="L29">
        <v>1</v>
      </c>
      <c r="M29">
        <f>M33-15</f>
        <v>40</v>
      </c>
      <c r="N29">
        <f t="shared" ref="N29:R29" si="9">N33-15</f>
        <v>50</v>
      </c>
      <c r="O29">
        <f t="shared" si="9"/>
        <v>55</v>
      </c>
      <c r="P29">
        <f t="shared" si="9"/>
        <v>60</v>
      </c>
      <c r="Q29">
        <f t="shared" si="9"/>
        <v>80</v>
      </c>
      <c r="R29">
        <f t="shared" si="9"/>
        <v>80</v>
      </c>
      <c r="S29" s="5">
        <v>99.999999999999986</v>
      </c>
    </row>
    <row r="30" spans="1:20">
      <c r="A30" s="2">
        <v>1</v>
      </c>
      <c r="B30" s="3" t="s">
        <v>75</v>
      </c>
      <c r="I30" s="134"/>
      <c r="J30" s="97" t="s">
        <v>109</v>
      </c>
      <c r="K30">
        <v>0</v>
      </c>
      <c r="L30">
        <v>2</v>
      </c>
      <c r="M30">
        <f>M33-13</f>
        <v>42</v>
      </c>
      <c r="N30">
        <f t="shared" ref="N30:R30" si="10">N33-13</f>
        <v>52</v>
      </c>
      <c r="O30">
        <f t="shared" si="10"/>
        <v>57</v>
      </c>
      <c r="P30">
        <f t="shared" si="10"/>
        <v>62</v>
      </c>
      <c r="Q30">
        <f t="shared" si="10"/>
        <v>82</v>
      </c>
      <c r="R30">
        <f t="shared" si="10"/>
        <v>82</v>
      </c>
      <c r="S30" s="5">
        <v>100</v>
      </c>
    </row>
    <row r="31" spans="1:20">
      <c r="A31" s="2">
        <v>2</v>
      </c>
      <c r="B31" s="3" t="s">
        <v>72</v>
      </c>
      <c r="I31" s="134"/>
      <c r="J31" s="97" t="s">
        <v>108</v>
      </c>
      <c r="K31">
        <v>0</v>
      </c>
      <c r="L31">
        <v>4</v>
      </c>
      <c r="M31">
        <f>M33-10</f>
        <v>45</v>
      </c>
      <c r="N31">
        <f t="shared" ref="N31:R31" si="11">N33-10</f>
        <v>55</v>
      </c>
      <c r="O31">
        <f t="shared" si="11"/>
        <v>60</v>
      </c>
      <c r="P31">
        <f t="shared" si="11"/>
        <v>65</v>
      </c>
      <c r="Q31">
        <f t="shared" si="11"/>
        <v>85</v>
      </c>
      <c r="R31">
        <f t="shared" si="11"/>
        <v>85</v>
      </c>
      <c r="S31" s="5">
        <v>99.999999999999986</v>
      </c>
    </row>
    <row r="32" spans="1:20">
      <c r="A32" s="2">
        <v>3</v>
      </c>
      <c r="B32" s="3" t="s">
        <v>73</v>
      </c>
      <c r="I32" s="134"/>
      <c r="J32" s="97" t="s">
        <v>107</v>
      </c>
      <c r="K32">
        <v>0</v>
      </c>
      <c r="L32">
        <v>5</v>
      </c>
      <c r="M32">
        <f>M33-5</f>
        <v>50</v>
      </c>
      <c r="N32">
        <f t="shared" ref="N32" si="12">N33-5</f>
        <v>60</v>
      </c>
      <c r="O32">
        <f t="shared" ref="O32" si="13">O33-5</f>
        <v>65</v>
      </c>
      <c r="P32">
        <f t="shared" ref="P32" si="14">P33-5</f>
        <v>70</v>
      </c>
      <c r="Q32">
        <f t="shared" ref="Q32" si="15">Q33-5</f>
        <v>90</v>
      </c>
      <c r="R32">
        <f t="shared" ref="R32" si="16">R33-5</f>
        <v>90</v>
      </c>
      <c r="S32" s="5">
        <v>99.999999999999986</v>
      </c>
    </row>
    <row r="33" spans="1:21">
      <c r="A33" s="2">
        <v>3</v>
      </c>
      <c r="B33" s="3" t="s">
        <v>74</v>
      </c>
      <c r="I33" s="134"/>
      <c r="J33" s="241" t="s">
        <v>106</v>
      </c>
      <c r="K33" s="242">
        <v>0</v>
      </c>
      <c r="L33" s="242">
        <v>7</v>
      </c>
      <c r="M33" s="242">
        <v>55</v>
      </c>
      <c r="N33" s="242">
        <v>65</v>
      </c>
      <c r="O33" s="242">
        <v>70</v>
      </c>
      <c r="P33" s="242">
        <v>75</v>
      </c>
      <c r="Q33" s="242">
        <v>95</v>
      </c>
      <c r="R33" s="242">
        <v>95</v>
      </c>
      <c r="S33" s="243">
        <v>100</v>
      </c>
      <c r="T33" s="2" t="s">
        <v>335</v>
      </c>
    </row>
    <row r="34" spans="1:21">
      <c r="A34" s="2">
        <v>4</v>
      </c>
      <c r="B34" s="3" t="s">
        <v>76</v>
      </c>
      <c r="I34" s="134"/>
      <c r="J34" s="97" t="s">
        <v>111</v>
      </c>
      <c r="K34">
        <v>0</v>
      </c>
      <c r="L34">
        <v>9</v>
      </c>
      <c r="M34">
        <f>M33+5</f>
        <v>60</v>
      </c>
      <c r="N34">
        <f t="shared" ref="N34" si="17">N33+5</f>
        <v>70</v>
      </c>
      <c r="O34">
        <f t="shared" ref="O34" si="18">O33+5</f>
        <v>75</v>
      </c>
      <c r="P34">
        <f t="shared" ref="P34" si="19">P33+5</f>
        <v>80</v>
      </c>
      <c r="Q34">
        <v>95</v>
      </c>
      <c r="R34">
        <v>95</v>
      </c>
      <c r="S34" s="5">
        <v>100</v>
      </c>
    </row>
    <row r="35" spans="1:21">
      <c r="A35" s="2">
        <v>4</v>
      </c>
      <c r="B35" s="3" t="s">
        <v>77</v>
      </c>
      <c r="I35" s="134"/>
      <c r="J35" s="97" t="s">
        <v>112</v>
      </c>
      <c r="K35">
        <v>0</v>
      </c>
      <c r="L35">
        <v>12</v>
      </c>
      <c r="M35">
        <f>M33+10</f>
        <v>65</v>
      </c>
      <c r="N35">
        <f t="shared" ref="N35:R35" si="20">N33+10</f>
        <v>75</v>
      </c>
      <c r="O35">
        <f t="shared" si="20"/>
        <v>80</v>
      </c>
      <c r="P35">
        <f t="shared" si="20"/>
        <v>85</v>
      </c>
      <c r="Q35">
        <v>97</v>
      </c>
      <c r="R35">
        <v>97</v>
      </c>
      <c r="S35" s="5">
        <v>100</v>
      </c>
    </row>
    <row r="36" spans="1:21">
      <c r="A36" s="2">
        <v>4</v>
      </c>
      <c r="B36" s="3" t="s">
        <v>78</v>
      </c>
      <c r="I36" s="134"/>
      <c r="J36" s="97" t="s">
        <v>113</v>
      </c>
      <c r="K36">
        <v>0</v>
      </c>
      <c r="L36">
        <v>15</v>
      </c>
      <c r="M36">
        <f>M33+13</f>
        <v>68</v>
      </c>
      <c r="N36">
        <f t="shared" ref="N36:R36" si="21">N33+13</f>
        <v>78</v>
      </c>
      <c r="O36">
        <f t="shared" si="21"/>
        <v>83</v>
      </c>
      <c r="P36">
        <f t="shared" si="21"/>
        <v>88</v>
      </c>
      <c r="Q36">
        <v>98</v>
      </c>
      <c r="R36">
        <v>98</v>
      </c>
      <c r="S36" s="5">
        <v>99.999999999999986</v>
      </c>
    </row>
    <row r="37" spans="1:21">
      <c r="A37" s="2">
        <v>4</v>
      </c>
      <c r="B37" s="3" t="s">
        <v>79</v>
      </c>
      <c r="I37" s="134"/>
      <c r="J37" s="97" t="s">
        <v>114</v>
      </c>
      <c r="K37">
        <v>0</v>
      </c>
      <c r="L37">
        <v>18</v>
      </c>
      <c r="M37">
        <f>M33+15</f>
        <v>70</v>
      </c>
      <c r="N37">
        <f t="shared" ref="N37:R37" si="22">N33+15</f>
        <v>80</v>
      </c>
      <c r="O37">
        <f t="shared" si="22"/>
        <v>85</v>
      </c>
      <c r="P37">
        <f t="shared" si="22"/>
        <v>90</v>
      </c>
      <c r="Q37">
        <v>100</v>
      </c>
      <c r="R37">
        <v>100</v>
      </c>
      <c r="S37" s="5">
        <v>99.999999999999986</v>
      </c>
    </row>
    <row r="38" spans="1:21">
      <c r="A38" s="2">
        <v>6</v>
      </c>
      <c r="B38" s="3" t="s">
        <v>80</v>
      </c>
    </row>
    <row r="39" spans="1:21">
      <c r="A39" s="2">
        <v>6</v>
      </c>
      <c r="B39" s="3" t="s">
        <v>81</v>
      </c>
      <c r="K39" s="2" t="s">
        <v>334</v>
      </c>
    </row>
    <row r="40" spans="1:21">
      <c r="A40" s="2">
        <v>6</v>
      </c>
      <c r="B40" s="3" t="s">
        <v>82</v>
      </c>
      <c r="K40" s="2" t="s">
        <v>329</v>
      </c>
      <c r="L40" s="2">
        <f>ROUND((M16-L16)*L$15*3,0)</f>
        <v>0</v>
      </c>
      <c r="M40" s="2">
        <f t="shared" ref="M40:R40" si="23">ROUND((N16-M16)*M$15*3,0)</f>
        <v>42</v>
      </c>
      <c r="N40" s="2">
        <f t="shared" si="23"/>
        <v>30</v>
      </c>
      <c r="O40" s="2">
        <f t="shared" si="23"/>
        <v>27</v>
      </c>
      <c r="P40" s="2">
        <f t="shared" si="23"/>
        <v>192</v>
      </c>
      <c r="Q40" s="2">
        <f t="shared" si="23"/>
        <v>0</v>
      </c>
      <c r="R40" s="2">
        <f t="shared" si="23"/>
        <v>180</v>
      </c>
      <c r="U40" s="2">
        <f>SUM(L40:R40)</f>
        <v>471</v>
      </c>
    </row>
    <row r="41" spans="1:21">
      <c r="L41" s="2">
        <f t="shared" ref="L41:R41" si="24">ROUND((M17-L17)*L$15*3,0)</f>
        <v>0</v>
      </c>
      <c r="M41" s="2">
        <f t="shared" si="24"/>
        <v>36</v>
      </c>
      <c r="N41" s="2">
        <f t="shared" si="24"/>
        <v>30</v>
      </c>
      <c r="O41" s="2">
        <f t="shared" si="24"/>
        <v>36</v>
      </c>
      <c r="P41" s="2">
        <f t="shared" si="24"/>
        <v>156</v>
      </c>
      <c r="Q41" s="2">
        <f t="shared" si="24"/>
        <v>0</v>
      </c>
      <c r="R41" s="2">
        <f t="shared" si="24"/>
        <v>162</v>
      </c>
      <c r="U41" s="2">
        <f t="shared" ref="U41:U48" si="25">SUM(L41:R41)</f>
        <v>420</v>
      </c>
    </row>
    <row r="42" spans="1:21">
      <c r="L42" s="2">
        <f t="shared" ref="L42:R42" si="26">ROUND((M18-L18)*L$15*3,0)</f>
        <v>0</v>
      </c>
      <c r="M42" s="2">
        <f t="shared" si="26"/>
        <v>36</v>
      </c>
      <c r="N42" s="2">
        <f t="shared" si="26"/>
        <v>24</v>
      </c>
      <c r="O42" s="2">
        <f t="shared" si="26"/>
        <v>27</v>
      </c>
      <c r="P42" s="2">
        <f t="shared" si="26"/>
        <v>156</v>
      </c>
      <c r="Q42" s="2">
        <f t="shared" si="26"/>
        <v>0</v>
      </c>
      <c r="R42" s="2">
        <f t="shared" si="26"/>
        <v>144</v>
      </c>
      <c r="U42" s="2">
        <f t="shared" si="25"/>
        <v>387</v>
      </c>
    </row>
    <row r="43" spans="1:21">
      <c r="L43" s="2">
        <f t="shared" ref="L43:R43" si="27">ROUND((M19-L19)*L$15*3,0)</f>
        <v>0</v>
      </c>
      <c r="M43" s="2">
        <f t="shared" si="27"/>
        <v>36</v>
      </c>
      <c r="N43" s="2">
        <f t="shared" si="27"/>
        <v>24</v>
      </c>
      <c r="O43" s="2">
        <f t="shared" si="27"/>
        <v>27</v>
      </c>
      <c r="P43" s="2">
        <f t="shared" si="27"/>
        <v>156</v>
      </c>
      <c r="Q43" s="2">
        <f t="shared" si="27"/>
        <v>0</v>
      </c>
      <c r="R43" s="2">
        <f t="shared" si="27"/>
        <v>90</v>
      </c>
      <c r="U43" s="2">
        <f t="shared" si="25"/>
        <v>333</v>
      </c>
    </row>
    <row r="44" spans="1:21">
      <c r="B44" s="3"/>
      <c r="L44" s="244">
        <f t="shared" ref="L44:R44" si="28">ROUND((M20-L20)*L$15*3,0)</f>
        <v>0</v>
      </c>
      <c r="M44" s="244">
        <f t="shared" si="28"/>
        <v>30</v>
      </c>
      <c r="N44" s="244">
        <f t="shared" si="28"/>
        <v>18</v>
      </c>
      <c r="O44" s="244">
        <f t="shared" si="28"/>
        <v>36</v>
      </c>
      <c r="P44" s="244">
        <f t="shared" si="28"/>
        <v>132</v>
      </c>
      <c r="Q44" s="244">
        <f t="shared" si="28"/>
        <v>0</v>
      </c>
      <c r="R44" s="244">
        <f t="shared" si="28"/>
        <v>54</v>
      </c>
      <c r="S44" s="244"/>
      <c r="T44" s="244"/>
      <c r="U44" s="244">
        <f t="shared" si="25"/>
        <v>270</v>
      </c>
    </row>
    <row r="45" spans="1:21">
      <c r="B45" s="2" t="s">
        <v>36</v>
      </c>
      <c r="L45" s="2">
        <f t="shared" ref="L45:R45" si="29">ROUND((M21-L21)*L$15*3,0)</f>
        <v>0</v>
      </c>
      <c r="M45" s="2">
        <f t="shared" si="29"/>
        <v>30</v>
      </c>
      <c r="N45" s="2">
        <f t="shared" si="29"/>
        <v>18</v>
      </c>
      <c r="O45" s="2">
        <f t="shared" si="29"/>
        <v>36</v>
      </c>
      <c r="P45" s="2">
        <f t="shared" si="29"/>
        <v>108</v>
      </c>
      <c r="Q45" s="2">
        <f t="shared" si="29"/>
        <v>0</v>
      </c>
      <c r="R45" s="2">
        <f t="shared" si="29"/>
        <v>54</v>
      </c>
      <c r="U45" s="2">
        <f t="shared" si="25"/>
        <v>246</v>
      </c>
    </row>
    <row r="46" spans="1:21">
      <c r="B46" s="2" t="s">
        <v>37</v>
      </c>
      <c r="L46" s="2">
        <f t="shared" ref="L46:R46" si="30">ROUND((M22-L22)*L$15*3,0)</f>
        <v>0</v>
      </c>
      <c r="M46" s="2">
        <f t="shared" si="30"/>
        <v>24</v>
      </c>
      <c r="N46" s="2">
        <f t="shared" si="30"/>
        <v>24</v>
      </c>
      <c r="O46" s="2">
        <f t="shared" si="30"/>
        <v>36</v>
      </c>
      <c r="P46" s="2">
        <f t="shared" si="30"/>
        <v>108</v>
      </c>
      <c r="Q46" s="2">
        <f t="shared" si="30"/>
        <v>0</v>
      </c>
      <c r="R46" s="2">
        <f t="shared" si="30"/>
        <v>36</v>
      </c>
      <c r="U46" s="2">
        <f t="shared" si="25"/>
        <v>228</v>
      </c>
    </row>
    <row r="47" spans="1:21">
      <c r="B47" s="2" t="s">
        <v>38</v>
      </c>
      <c r="L47" s="2">
        <f t="shared" ref="L47:R47" si="31">ROUND((M23-L23)*L$15*3,0)</f>
        <v>0</v>
      </c>
      <c r="M47" s="2">
        <f t="shared" si="31"/>
        <v>24</v>
      </c>
      <c r="N47" s="2">
        <f t="shared" si="31"/>
        <v>18</v>
      </c>
      <c r="O47" s="2">
        <f t="shared" si="31"/>
        <v>27</v>
      </c>
      <c r="P47" s="2">
        <f t="shared" si="31"/>
        <v>96</v>
      </c>
      <c r="Q47" s="2">
        <f t="shared" si="31"/>
        <v>0</v>
      </c>
      <c r="R47" s="2">
        <f t="shared" si="31"/>
        <v>18</v>
      </c>
      <c r="U47" s="2">
        <f t="shared" si="25"/>
        <v>183</v>
      </c>
    </row>
    <row r="48" spans="1:21">
      <c r="B48" s="2" t="s">
        <v>39</v>
      </c>
      <c r="L48" s="2">
        <f t="shared" ref="L48:R48" si="32">ROUND((M24-L24)*L$15*3,0)</f>
        <v>0</v>
      </c>
      <c r="M48" s="2">
        <f t="shared" si="32"/>
        <v>18</v>
      </c>
      <c r="N48" s="2">
        <f t="shared" si="32"/>
        <v>24</v>
      </c>
      <c r="O48" s="2">
        <f t="shared" si="32"/>
        <v>27</v>
      </c>
      <c r="P48" s="2">
        <f t="shared" si="32"/>
        <v>72</v>
      </c>
      <c r="Q48" s="2">
        <f t="shared" si="32"/>
        <v>0</v>
      </c>
      <c r="R48" s="2">
        <f t="shared" si="32"/>
        <v>0</v>
      </c>
      <c r="U48" s="2">
        <f t="shared" si="25"/>
        <v>141</v>
      </c>
    </row>
    <row r="49" spans="2:21">
      <c r="B49" s="2" t="s">
        <v>40</v>
      </c>
    </row>
    <row r="50" spans="2:21">
      <c r="K50" s="2" t="s">
        <v>334</v>
      </c>
    </row>
    <row r="51" spans="2:21">
      <c r="B51" s="2" t="s">
        <v>41</v>
      </c>
      <c r="K51" s="2" t="s">
        <v>326</v>
      </c>
      <c r="L51" s="2">
        <f>ROUND((M29-L29)*L$28*1.2,0)</f>
        <v>0</v>
      </c>
      <c r="M51" s="2">
        <f t="shared" ref="M51:R51" si="33">ROUND((N29-M29)*M$28*1.2,0)</f>
        <v>12</v>
      </c>
      <c r="N51" s="2">
        <f t="shared" si="33"/>
        <v>12</v>
      </c>
      <c r="O51" s="2">
        <f t="shared" si="33"/>
        <v>18</v>
      </c>
      <c r="P51" s="2">
        <f t="shared" si="33"/>
        <v>96</v>
      </c>
      <c r="Q51" s="2">
        <f t="shared" si="33"/>
        <v>0</v>
      </c>
      <c r="R51" s="2">
        <f t="shared" si="33"/>
        <v>144</v>
      </c>
      <c r="U51" s="2">
        <f t="shared" ref="U51:U59" si="34">SUM(L51:R51)</f>
        <v>282</v>
      </c>
    </row>
    <row r="52" spans="2:21">
      <c r="B52" s="2" t="s">
        <v>42</v>
      </c>
      <c r="L52" s="2">
        <f t="shared" ref="L52:R52" si="35">ROUND((M30-L30)*L$28*1.2,0)</f>
        <v>0</v>
      </c>
      <c r="M52" s="2">
        <f t="shared" si="35"/>
        <v>12</v>
      </c>
      <c r="N52" s="2">
        <f t="shared" si="35"/>
        <v>12</v>
      </c>
      <c r="O52" s="2">
        <f t="shared" si="35"/>
        <v>18</v>
      </c>
      <c r="P52" s="2">
        <f t="shared" si="35"/>
        <v>96</v>
      </c>
      <c r="Q52" s="2">
        <f t="shared" si="35"/>
        <v>0</v>
      </c>
      <c r="R52" s="2">
        <f t="shared" si="35"/>
        <v>130</v>
      </c>
      <c r="U52" s="2">
        <f t="shared" si="34"/>
        <v>268</v>
      </c>
    </row>
    <row r="53" spans="2:21">
      <c r="B53" s="2" t="s">
        <v>43</v>
      </c>
      <c r="L53" s="2">
        <f t="shared" ref="L53:R53" si="36">ROUND((M31-L31)*L$28*1.2,0)</f>
        <v>0</v>
      </c>
      <c r="M53" s="2">
        <f t="shared" si="36"/>
        <v>12</v>
      </c>
      <c r="N53" s="2">
        <f t="shared" si="36"/>
        <v>12</v>
      </c>
      <c r="O53" s="2">
        <f t="shared" si="36"/>
        <v>18</v>
      </c>
      <c r="P53" s="2">
        <f t="shared" si="36"/>
        <v>96</v>
      </c>
      <c r="Q53" s="2">
        <f t="shared" si="36"/>
        <v>0</v>
      </c>
      <c r="R53" s="2">
        <f t="shared" si="36"/>
        <v>108</v>
      </c>
      <c r="U53" s="2">
        <f t="shared" si="34"/>
        <v>246</v>
      </c>
    </row>
    <row r="54" spans="2:21">
      <c r="B54" s="2" t="s">
        <v>44</v>
      </c>
      <c r="L54" s="2">
        <f t="shared" ref="L54:R54" si="37">ROUND((M32-L32)*L$28*1.2,0)</f>
        <v>0</v>
      </c>
      <c r="M54" s="2">
        <f t="shared" si="37"/>
        <v>12</v>
      </c>
      <c r="N54" s="2">
        <f t="shared" si="37"/>
        <v>12</v>
      </c>
      <c r="O54" s="2">
        <f t="shared" si="37"/>
        <v>18</v>
      </c>
      <c r="P54" s="2">
        <f t="shared" si="37"/>
        <v>96</v>
      </c>
      <c r="Q54" s="2">
        <f t="shared" si="37"/>
        <v>0</v>
      </c>
      <c r="R54" s="2">
        <f t="shared" si="37"/>
        <v>72</v>
      </c>
      <c r="U54" s="2">
        <f t="shared" si="34"/>
        <v>210</v>
      </c>
    </row>
    <row r="55" spans="2:21">
      <c r="B55" s="2" t="s">
        <v>45</v>
      </c>
      <c r="L55" s="244">
        <f t="shared" ref="L55:R55" si="38">ROUND((M33-L33)*L$28*1.2,0)</f>
        <v>0</v>
      </c>
      <c r="M55" s="244">
        <f t="shared" si="38"/>
        <v>12</v>
      </c>
      <c r="N55" s="244">
        <f t="shared" si="38"/>
        <v>12</v>
      </c>
      <c r="O55" s="244">
        <f t="shared" si="38"/>
        <v>18</v>
      </c>
      <c r="P55" s="244">
        <f t="shared" si="38"/>
        <v>96</v>
      </c>
      <c r="Q55" s="244">
        <f t="shared" si="38"/>
        <v>0</v>
      </c>
      <c r="R55" s="244">
        <f t="shared" si="38"/>
        <v>36</v>
      </c>
      <c r="S55" s="244"/>
      <c r="T55" s="244"/>
      <c r="U55" s="244">
        <f t="shared" si="34"/>
        <v>174</v>
      </c>
    </row>
    <row r="56" spans="2:21">
      <c r="B56" s="2" t="s">
        <v>46</v>
      </c>
      <c r="L56" s="2">
        <f t="shared" ref="L56:R56" si="39">ROUND((M34-L34)*L$28*1.2,0)</f>
        <v>0</v>
      </c>
      <c r="M56" s="2">
        <f t="shared" si="39"/>
        <v>12</v>
      </c>
      <c r="N56" s="2">
        <f t="shared" si="39"/>
        <v>12</v>
      </c>
      <c r="O56" s="2">
        <f t="shared" si="39"/>
        <v>18</v>
      </c>
      <c r="P56" s="2">
        <f t="shared" si="39"/>
        <v>72</v>
      </c>
      <c r="Q56" s="2">
        <f t="shared" si="39"/>
        <v>0</v>
      </c>
      <c r="R56" s="2">
        <f t="shared" si="39"/>
        <v>36</v>
      </c>
      <c r="U56" s="2">
        <f t="shared" si="34"/>
        <v>150</v>
      </c>
    </row>
    <row r="57" spans="2:21">
      <c r="L57" s="2">
        <f t="shared" ref="L57:R57" si="40">ROUND((M35-L35)*L$28*1.2,0)</f>
        <v>0</v>
      </c>
      <c r="M57" s="2">
        <f t="shared" si="40"/>
        <v>12</v>
      </c>
      <c r="N57" s="2">
        <f t="shared" si="40"/>
        <v>12</v>
      </c>
      <c r="O57" s="2">
        <f t="shared" si="40"/>
        <v>18</v>
      </c>
      <c r="P57" s="2">
        <f t="shared" si="40"/>
        <v>58</v>
      </c>
      <c r="Q57" s="2">
        <f t="shared" si="40"/>
        <v>0</v>
      </c>
      <c r="R57" s="2">
        <f t="shared" si="40"/>
        <v>22</v>
      </c>
      <c r="U57" s="2">
        <f t="shared" si="34"/>
        <v>122</v>
      </c>
    </row>
    <row r="58" spans="2:21">
      <c r="L58" s="2">
        <f t="shared" ref="L58:R58" si="41">ROUND((M36-L36)*L$28*1.2,0)</f>
        <v>0</v>
      </c>
      <c r="M58" s="2">
        <f t="shared" si="41"/>
        <v>12</v>
      </c>
      <c r="N58" s="2">
        <f t="shared" si="41"/>
        <v>12</v>
      </c>
      <c r="O58" s="2">
        <f t="shared" si="41"/>
        <v>18</v>
      </c>
      <c r="P58" s="2">
        <f t="shared" si="41"/>
        <v>48</v>
      </c>
      <c r="Q58" s="2">
        <f t="shared" si="41"/>
        <v>0</v>
      </c>
      <c r="R58" s="2">
        <f t="shared" si="41"/>
        <v>14</v>
      </c>
      <c r="U58" s="2">
        <f t="shared" si="34"/>
        <v>104</v>
      </c>
    </row>
    <row r="59" spans="2:21">
      <c r="L59" s="2">
        <f t="shared" ref="L59:R59" si="42">ROUND((M37-L37)*L$28*1.2,0)</f>
        <v>0</v>
      </c>
      <c r="M59" s="2">
        <f t="shared" si="42"/>
        <v>12</v>
      </c>
      <c r="N59" s="2">
        <f t="shared" si="42"/>
        <v>12</v>
      </c>
      <c r="O59" s="2">
        <f t="shared" si="42"/>
        <v>18</v>
      </c>
      <c r="P59" s="2">
        <f t="shared" si="42"/>
        <v>48</v>
      </c>
      <c r="Q59" s="2">
        <f t="shared" si="42"/>
        <v>0</v>
      </c>
      <c r="R59" s="2">
        <f t="shared" si="42"/>
        <v>0</v>
      </c>
      <c r="U59" s="2">
        <f t="shared" si="34"/>
        <v>90</v>
      </c>
    </row>
  </sheetData>
  <sortState xmlns:xlrd2="http://schemas.microsoft.com/office/spreadsheetml/2017/richdata2" ref="J3:J42">
    <sortCondition ref="J3"/>
  </sortState>
  <phoneticPr fontId="2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0BF9-8E9A-4619-9A00-BD3E5ACED8D2}">
  <sheetPr codeName="Sheet11"/>
  <dimension ref="A21:AD38"/>
  <sheetViews>
    <sheetView workbookViewId="0">
      <selection activeCell="A37" sqref="A37:K38"/>
    </sheetView>
  </sheetViews>
  <sheetFormatPr defaultRowHeight="14.4"/>
  <cols>
    <col min="1" max="1" width="5.21875" customWidth="1"/>
    <col min="2" max="2" width="11.5546875" customWidth="1"/>
    <col min="3" max="3" width="5.6640625" customWidth="1"/>
    <col min="4" max="4" width="5.44140625" customWidth="1"/>
    <col min="5" max="5" width="23.21875" customWidth="1"/>
    <col min="6" max="11" width="7.77734375" customWidth="1"/>
    <col min="13" max="13" width="13.33203125" bestFit="1" customWidth="1"/>
    <col min="14" max="19" width="7.6640625" customWidth="1"/>
    <col min="20" max="30" width="6.5546875" customWidth="1"/>
  </cols>
  <sheetData>
    <row r="21" spans="1:30" ht="21">
      <c r="A21" s="239" t="s">
        <v>333</v>
      </c>
    </row>
    <row r="22" spans="1:30">
      <c r="A22" s="25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33"/>
      <c r="V22" s="26"/>
      <c r="W22" s="26"/>
      <c r="X22" s="26"/>
      <c r="Y22" s="26"/>
      <c r="Z22" s="26"/>
      <c r="AA22" s="26"/>
      <c r="AB22" s="26"/>
      <c r="AC22" s="26"/>
      <c r="AD22" s="26"/>
    </row>
    <row r="23" spans="1:30">
      <c r="A23" s="27" t="s">
        <v>31</v>
      </c>
      <c r="B23" s="27" t="s">
        <v>30</v>
      </c>
      <c r="C23" s="28" t="s">
        <v>15</v>
      </c>
      <c r="D23" s="28" t="s">
        <v>16</v>
      </c>
      <c r="E23" s="41" t="s">
        <v>2</v>
      </c>
      <c r="F23" s="28" t="s">
        <v>3</v>
      </c>
      <c r="G23" s="28" t="s">
        <v>4</v>
      </c>
      <c r="H23" s="28" t="s">
        <v>5</v>
      </c>
      <c r="I23" s="28" t="s">
        <v>6</v>
      </c>
      <c r="J23" s="28" t="s">
        <v>7</v>
      </c>
      <c r="K23" s="27"/>
      <c r="L23" s="27" t="s">
        <v>31</v>
      </c>
      <c r="M23" s="27" t="s">
        <v>30</v>
      </c>
      <c r="N23" s="28" t="s">
        <v>15</v>
      </c>
      <c r="O23" s="28" t="s">
        <v>16</v>
      </c>
      <c r="P23" s="28" t="s">
        <v>8</v>
      </c>
      <c r="Q23" s="28" t="s">
        <v>9</v>
      </c>
      <c r="R23" s="28" t="s">
        <v>3</v>
      </c>
      <c r="S23" s="28" t="s">
        <v>10</v>
      </c>
      <c r="T23" s="28" t="s">
        <v>11</v>
      </c>
      <c r="U23" s="34" t="s">
        <v>4</v>
      </c>
      <c r="V23" s="65" t="s">
        <v>274</v>
      </c>
      <c r="W23" s="25"/>
      <c r="X23" s="25"/>
      <c r="Y23" s="65" t="s">
        <v>84</v>
      </c>
      <c r="Z23" s="25"/>
      <c r="AA23" s="25"/>
      <c r="AB23" s="25"/>
      <c r="AC23" s="25"/>
      <c r="AD23" s="25"/>
    </row>
    <row r="24" spans="1:30">
      <c r="A24" s="28">
        <v>1</v>
      </c>
      <c r="B24" s="42" t="s">
        <v>292</v>
      </c>
      <c r="C24" s="38">
        <v>4</v>
      </c>
      <c r="D24" s="38">
        <v>2</v>
      </c>
      <c r="E24" s="42" t="s">
        <v>304</v>
      </c>
      <c r="F24" s="29">
        <v>0</v>
      </c>
      <c r="G24" s="29">
        <v>2</v>
      </c>
      <c r="H24" s="29"/>
      <c r="I24" s="29"/>
      <c r="J24" s="30" t="str">
        <f>IF(F24&gt;0,F24/G24*100,"")</f>
        <v/>
      </c>
      <c r="K24" s="29"/>
      <c r="L24" s="28">
        <v>1</v>
      </c>
      <c r="M24" s="42" t="s">
        <v>12</v>
      </c>
      <c r="N24" s="71">
        <v>4</v>
      </c>
      <c r="O24" s="71">
        <v>1</v>
      </c>
      <c r="P24" s="40">
        <f>(MOD(U24,6)*0.1)+INT(U24/6)</f>
        <v>0</v>
      </c>
      <c r="Q24" s="29"/>
      <c r="R24" s="29"/>
      <c r="S24" s="29"/>
      <c r="T24" s="30" t="str">
        <f>IF(R24&gt;0,R24/P24,"")</f>
        <v/>
      </c>
      <c r="U24" s="35"/>
      <c r="V24" s="31"/>
      <c r="W24" s="31"/>
      <c r="X24" s="31"/>
      <c r="Y24" s="31"/>
      <c r="Z24" s="31"/>
      <c r="AA24" s="31"/>
      <c r="AB24" s="31"/>
      <c r="AC24" s="31"/>
      <c r="AD24" s="31"/>
    </row>
    <row r="25" spans="1:30">
      <c r="A25" s="28">
        <v>2</v>
      </c>
      <c r="B25" s="42" t="s">
        <v>291</v>
      </c>
      <c r="C25" s="38">
        <v>4</v>
      </c>
      <c r="D25" s="38">
        <v>1</v>
      </c>
      <c r="E25" s="42" t="s">
        <v>337</v>
      </c>
      <c r="F25" s="29">
        <v>26</v>
      </c>
      <c r="G25" s="29">
        <v>15</v>
      </c>
      <c r="H25" s="29">
        <v>6</v>
      </c>
      <c r="I25" s="29"/>
      <c r="J25" s="30">
        <f>IF(F25&gt;0,F25/G25*100,"")</f>
        <v>173.33333333333334</v>
      </c>
      <c r="K25" s="29"/>
      <c r="L25" s="28">
        <v>2</v>
      </c>
      <c r="M25" s="42" t="s">
        <v>258</v>
      </c>
      <c r="N25" s="71">
        <v>4</v>
      </c>
      <c r="O25" s="71">
        <v>1</v>
      </c>
      <c r="P25" s="40">
        <f t="shared" ref="P25:P34" si="0">(MOD(U25,6)*0.1)+INT(U25/6)</f>
        <v>0</v>
      </c>
      <c r="Q25" s="29"/>
      <c r="R25" s="29"/>
      <c r="S25" s="29"/>
      <c r="T25" s="30" t="str">
        <f t="shared" ref="T25:T35" si="1">IF(R25&gt;0,R25/P25,"")</f>
        <v/>
      </c>
      <c r="U25" s="35"/>
      <c r="V25" s="31"/>
      <c r="W25" s="31"/>
      <c r="X25" s="31"/>
      <c r="Y25" s="31"/>
      <c r="Z25" s="31"/>
      <c r="AA25" s="31"/>
      <c r="AB25" s="31"/>
      <c r="AC25" s="31"/>
      <c r="AD25" s="31"/>
    </row>
    <row r="26" spans="1:30">
      <c r="A26" s="28">
        <v>3</v>
      </c>
      <c r="B26" s="42" t="s">
        <v>13</v>
      </c>
      <c r="C26" s="38">
        <v>5</v>
      </c>
      <c r="D26" s="38">
        <v>1</v>
      </c>
      <c r="E26" s="42" t="s">
        <v>330</v>
      </c>
      <c r="F26" s="29">
        <v>20</v>
      </c>
      <c r="G26" s="29">
        <v>10</v>
      </c>
      <c r="H26" s="29">
        <v>2</v>
      </c>
      <c r="I26" s="29">
        <v>1</v>
      </c>
      <c r="J26" s="30">
        <f t="shared" ref="J26:J34" si="2">IF(F26&gt;0,F26/G26*100,"")</f>
        <v>200</v>
      </c>
      <c r="K26" s="29"/>
      <c r="L26" s="28">
        <v>3</v>
      </c>
      <c r="M26" s="42" t="s">
        <v>91</v>
      </c>
      <c r="N26" s="71">
        <v>5</v>
      </c>
      <c r="O26" s="71">
        <v>1</v>
      </c>
      <c r="P26" s="40">
        <f t="shared" si="0"/>
        <v>0</v>
      </c>
      <c r="Q26" s="29"/>
      <c r="R26" s="29"/>
      <c r="S26" s="29"/>
      <c r="T26" s="30" t="str">
        <f t="shared" si="1"/>
        <v/>
      </c>
      <c r="U26" s="35"/>
      <c r="V26" s="31"/>
      <c r="W26" s="31"/>
      <c r="X26" s="31"/>
      <c r="Y26" s="31"/>
      <c r="Z26" s="31"/>
      <c r="AA26" s="31"/>
      <c r="AB26" s="31"/>
      <c r="AC26" s="31"/>
      <c r="AD26" s="31"/>
    </row>
    <row r="27" spans="1:30">
      <c r="A27" s="28">
        <v>4</v>
      </c>
      <c r="B27" s="42" t="s">
        <v>293</v>
      </c>
      <c r="C27" s="38">
        <v>3</v>
      </c>
      <c r="D27" s="38">
        <v>1</v>
      </c>
      <c r="E27" s="42" t="s">
        <v>303</v>
      </c>
      <c r="F27" s="29">
        <v>67</v>
      </c>
      <c r="G27" s="29">
        <v>56</v>
      </c>
      <c r="H27" s="29">
        <v>10</v>
      </c>
      <c r="I27" s="29">
        <v>1</v>
      </c>
      <c r="J27" s="30">
        <f t="shared" si="2"/>
        <v>119.64285714285714</v>
      </c>
      <c r="K27" s="29"/>
      <c r="L27" s="28">
        <v>4</v>
      </c>
      <c r="M27" s="42" t="s">
        <v>159</v>
      </c>
      <c r="N27" s="71">
        <v>3</v>
      </c>
      <c r="O27" s="71">
        <v>1</v>
      </c>
      <c r="P27" s="40">
        <f t="shared" si="0"/>
        <v>0</v>
      </c>
      <c r="Q27" s="29"/>
      <c r="R27" s="29"/>
      <c r="S27" s="29"/>
      <c r="T27" s="30" t="str">
        <f t="shared" si="1"/>
        <v/>
      </c>
      <c r="U27" s="35"/>
      <c r="V27" s="31"/>
      <c r="W27" s="31"/>
      <c r="X27" s="31"/>
      <c r="Y27" s="31"/>
      <c r="Z27" s="31"/>
      <c r="AA27" s="31"/>
      <c r="AB27" s="31"/>
      <c r="AC27" s="31"/>
      <c r="AD27" s="31"/>
    </row>
    <row r="28" spans="1:30">
      <c r="A28" s="28">
        <v>5</v>
      </c>
      <c r="B28" s="42" t="s">
        <v>294</v>
      </c>
      <c r="C28" s="38">
        <v>3</v>
      </c>
      <c r="D28" s="38">
        <v>1</v>
      </c>
      <c r="E28" s="42" t="s">
        <v>327</v>
      </c>
      <c r="F28" s="29">
        <v>15</v>
      </c>
      <c r="G28" s="29">
        <v>10</v>
      </c>
      <c r="H28" s="29">
        <v>2</v>
      </c>
      <c r="I28" s="29"/>
      <c r="J28" s="30">
        <f t="shared" si="2"/>
        <v>150</v>
      </c>
      <c r="K28" s="29"/>
      <c r="L28" s="28">
        <v>5</v>
      </c>
      <c r="M28" s="42" t="s">
        <v>286</v>
      </c>
      <c r="N28" s="71">
        <v>3</v>
      </c>
      <c r="O28" s="71">
        <v>1</v>
      </c>
      <c r="P28" s="40">
        <f t="shared" si="0"/>
        <v>0</v>
      </c>
      <c r="Q28" s="29"/>
      <c r="R28" s="29"/>
      <c r="S28" s="29"/>
      <c r="T28" s="30" t="str">
        <f t="shared" si="1"/>
        <v/>
      </c>
      <c r="U28" s="35"/>
      <c r="V28" s="31"/>
      <c r="W28" s="31"/>
      <c r="X28" s="31"/>
      <c r="Y28" s="31"/>
      <c r="Z28" s="31"/>
      <c r="AA28" s="31"/>
      <c r="AB28" s="31"/>
      <c r="AC28" s="31"/>
      <c r="AD28" s="31"/>
    </row>
    <row r="29" spans="1:30">
      <c r="A29" s="28">
        <v>6</v>
      </c>
      <c r="B29" s="42" t="s">
        <v>295</v>
      </c>
      <c r="C29" s="38">
        <v>2</v>
      </c>
      <c r="D29" s="38">
        <v>2</v>
      </c>
      <c r="E29" s="42" t="s">
        <v>327</v>
      </c>
      <c r="F29" s="29"/>
      <c r="G29" s="29">
        <v>1</v>
      </c>
      <c r="H29" s="29"/>
      <c r="I29" s="29"/>
      <c r="J29" s="30" t="str">
        <f t="shared" si="2"/>
        <v/>
      </c>
      <c r="K29" s="29"/>
      <c r="L29" s="28">
        <v>6</v>
      </c>
      <c r="M29" s="42" t="s">
        <v>92</v>
      </c>
      <c r="N29" s="71">
        <v>3</v>
      </c>
      <c r="O29" s="71">
        <v>4</v>
      </c>
      <c r="P29" s="40">
        <f t="shared" si="0"/>
        <v>4</v>
      </c>
      <c r="Q29" s="29">
        <v>1</v>
      </c>
      <c r="R29" s="29">
        <v>12</v>
      </c>
      <c r="S29" s="29">
        <v>1</v>
      </c>
      <c r="T29" s="30">
        <f t="shared" si="1"/>
        <v>3</v>
      </c>
      <c r="U29" s="35">
        <v>24</v>
      </c>
      <c r="V29" s="31"/>
      <c r="W29" s="31"/>
      <c r="X29" s="31"/>
      <c r="Y29" s="31"/>
      <c r="Z29" s="31"/>
      <c r="AA29" s="31"/>
      <c r="AB29" s="31"/>
      <c r="AC29" s="31"/>
      <c r="AD29" s="31"/>
    </row>
    <row r="30" spans="1:30">
      <c r="A30" s="28">
        <v>7</v>
      </c>
      <c r="B30" s="42" t="s">
        <v>296</v>
      </c>
      <c r="C30" s="38">
        <v>3</v>
      </c>
      <c r="D30" s="38" t="s">
        <v>23</v>
      </c>
      <c r="E30" s="42" t="s">
        <v>328</v>
      </c>
      <c r="F30" s="29"/>
      <c r="G30" s="29">
        <v>1</v>
      </c>
      <c r="H30" s="29"/>
      <c r="I30" s="29"/>
      <c r="J30" s="30" t="str">
        <f t="shared" si="2"/>
        <v/>
      </c>
      <c r="K30" s="29"/>
      <c r="L30" s="28">
        <v>7</v>
      </c>
      <c r="M30" s="42" t="s">
        <v>287</v>
      </c>
      <c r="N30" s="71">
        <v>3</v>
      </c>
      <c r="O30" s="71" t="s">
        <v>23</v>
      </c>
      <c r="P30" s="40">
        <f t="shared" si="0"/>
        <v>0</v>
      </c>
      <c r="Q30" s="29"/>
      <c r="R30" s="29"/>
      <c r="S30" s="29"/>
      <c r="T30" s="30" t="str">
        <f t="shared" si="1"/>
        <v/>
      </c>
      <c r="U30" s="35"/>
      <c r="V30" s="31"/>
      <c r="W30" s="31"/>
      <c r="X30" s="31"/>
      <c r="Y30" s="31"/>
      <c r="Z30" s="31"/>
      <c r="AA30" s="31"/>
      <c r="AB30" s="31"/>
      <c r="AC30" s="31"/>
      <c r="AD30" s="31"/>
    </row>
    <row r="31" spans="1:30">
      <c r="A31" s="28">
        <v>8</v>
      </c>
      <c r="B31" s="42" t="s">
        <v>297</v>
      </c>
      <c r="C31" s="38">
        <v>3</v>
      </c>
      <c r="D31" s="38">
        <v>5</v>
      </c>
      <c r="E31" s="42" t="s">
        <v>308</v>
      </c>
      <c r="F31" s="29">
        <v>4</v>
      </c>
      <c r="G31" s="29">
        <v>5</v>
      </c>
      <c r="H31" s="29">
        <v>1</v>
      </c>
      <c r="I31" s="29"/>
      <c r="J31" s="30">
        <f t="shared" si="2"/>
        <v>80</v>
      </c>
      <c r="K31" s="29"/>
      <c r="L31" s="28">
        <v>8</v>
      </c>
      <c r="M31" s="42" t="s">
        <v>288</v>
      </c>
      <c r="N31" s="71">
        <v>1</v>
      </c>
      <c r="O31" s="71">
        <v>3</v>
      </c>
      <c r="P31" s="40">
        <f t="shared" si="0"/>
        <v>4</v>
      </c>
      <c r="Q31" s="29"/>
      <c r="R31" s="29">
        <v>48</v>
      </c>
      <c r="S31" s="29">
        <v>1</v>
      </c>
      <c r="T31" s="30">
        <f t="shared" si="1"/>
        <v>12</v>
      </c>
      <c r="U31" s="35">
        <v>24</v>
      </c>
      <c r="V31" s="31"/>
      <c r="W31" s="31"/>
      <c r="X31" s="31"/>
      <c r="Y31" s="31"/>
      <c r="Z31" s="31"/>
      <c r="AA31" s="31"/>
      <c r="AB31" s="31"/>
      <c r="AC31" s="31"/>
      <c r="AD31" s="31"/>
    </row>
    <row r="32" spans="1:30">
      <c r="A32" s="28">
        <v>9</v>
      </c>
      <c r="B32" s="42" t="s">
        <v>298</v>
      </c>
      <c r="C32" s="38">
        <v>1</v>
      </c>
      <c r="D32" s="38">
        <v>4</v>
      </c>
      <c r="E32" s="42" t="s">
        <v>303</v>
      </c>
      <c r="F32" s="29">
        <v>18</v>
      </c>
      <c r="G32" s="29">
        <v>20</v>
      </c>
      <c r="H32" s="29">
        <v>3</v>
      </c>
      <c r="I32" s="29"/>
      <c r="J32" s="30">
        <f t="shared" si="2"/>
        <v>90</v>
      </c>
      <c r="K32" s="29"/>
      <c r="L32" s="28">
        <v>9</v>
      </c>
      <c r="M32" s="42" t="s">
        <v>289</v>
      </c>
      <c r="N32" s="71">
        <v>1</v>
      </c>
      <c r="O32" s="71">
        <v>3</v>
      </c>
      <c r="P32" s="40">
        <f t="shared" si="0"/>
        <v>4</v>
      </c>
      <c r="Q32" s="29"/>
      <c r="R32" s="29">
        <v>40</v>
      </c>
      <c r="S32" s="29">
        <v>1</v>
      </c>
      <c r="T32" s="30">
        <f t="shared" si="1"/>
        <v>10</v>
      </c>
      <c r="U32" s="35">
        <v>24</v>
      </c>
      <c r="V32" s="31"/>
      <c r="W32" s="31"/>
      <c r="X32" s="31"/>
      <c r="Y32" s="31"/>
      <c r="Z32" s="31"/>
      <c r="AA32" s="31"/>
      <c r="AB32" s="31"/>
      <c r="AC32" s="31"/>
      <c r="AD32" s="31"/>
    </row>
    <row r="33" spans="1:30">
      <c r="A33" s="28">
        <v>10</v>
      </c>
      <c r="B33" s="42" t="s">
        <v>299</v>
      </c>
      <c r="C33" s="38">
        <v>1</v>
      </c>
      <c r="D33" s="38">
        <v>4</v>
      </c>
      <c r="E33" s="42"/>
      <c r="F33" s="29"/>
      <c r="G33" s="29"/>
      <c r="H33" s="29"/>
      <c r="I33" s="29"/>
      <c r="J33" s="30" t="str">
        <f t="shared" si="2"/>
        <v/>
      </c>
      <c r="K33" s="29"/>
      <c r="L33" s="28">
        <v>10</v>
      </c>
      <c r="M33" s="42" t="s">
        <v>14</v>
      </c>
      <c r="N33" s="71">
        <v>1</v>
      </c>
      <c r="O33" s="71">
        <v>5</v>
      </c>
      <c r="P33" s="40">
        <f t="shared" si="0"/>
        <v>4</v>
      </c>
      <c r="Q33" s="29"/>
      <c r="R33" s="29">
        <v>30</v>
      </c>
      <c r="S33" s="29">
        <v>1</v>
      </c>
      <c r="T33" s="30">
        <f t="shared" si="1"/>
        <v>7.5</v>
      </c>
      <c r="U33" s="35">
        <v>24</v>
      </c>
      <c r="V33" s="31"/>
      <c r="W33" s="31"/>
      <c r="X33" s="31"/>
      <c r="Y33" s="31"/>
      <c r="Z33" s="31"/>
      <c r="AA33" s="31"/>
      <c r="AB33" s="31"/>
      <c r="AC33" s="31"/>
      <c r="AD33" s="31"/>
    </row>
    <row r="34" spans="1:30">
      <c r="A34" s="28">
        <v>11</v>
      </c>
      <c r="B34" s="42" t="s">
        <v>300</v>
      </c>
      <c r="C34" s="38">
        <v>1</v>
      </c>
      <c r="D34" s="38">
        <v>3</v>
      </c>
      <c r="E34" s="42"/>
      <c r="F34" s="29"/>
      <c r="G34" s="29"/>
      <c r="H34" s="29"/>
      <c r="I34" s="29"/>
      <c r="J34" s="30" t="str">
        <f t="shared" si="2"/>
        <v/>
      </c>
      <c r="K34" s="29"/>
      <c r="L34" s="28">
        <v>11</v>
      </c>
      <c r="M34" s="42" t="s">
        <v>290</v>
      </c>
      <c r="N34" s="71">
        <v>1</v>
      </c>
      <c r="O34" s="71">
        <v>4</v>
      </c>
      <c r="P34" s="40">
        <f t="shared" si="0"/>
        <v>4</v>
      </c>
      <c r="Q34" s="29"/>
      <c r="R34" s="29">
        <v>20</v>
      </c>
      <c r="S34" s="29">
        <v>3</v>
      </c>
      <c r="T34" s="30">
        <f t="shared" si="1"/>
        <v>5</v>
      </c>
      <c r="U34" s="35">
        <v>24</v>
      </c>
      <c r="V34" s="31"/>
      <c r="W34" s="31"/>
      <c r="X34" s="31"/>
      <c r="Y34" s="31"/>
      <c r="Z34" s="31"/>
      <c r="AA34" s="31"/>
      <c r="AB34" s="31"/>
      <c r="AC34" s="31"/>
      <c r="AD34" s="31"/>
    </row>
    <row r="35" spans="1:30">
      <c r="A35" s="54"/>
      <c r="B35" s="55"/>
      <c r="C35" s="55"/>
      <c r="D35" s="55"/>
      <c r="E35" s="55"/>
      <c r="F35" s="55">
        <f>SUM(F24:F34)</f>
        <v>150</v>
      </c>
      <c r="G35" s="55"/>
      <c r="H35" s="55"/>
      <c r="I35" s="55"/>
      <c r="J35" s="55"/>
      <c r="K35" s="55"/>
      <c r="L35" s="55"/>
      <c r="M35" s="55"/>
      <c r="N35" s="55"/>
      <c r="O35" s="55"/>
      <c r="P35" s="56">
        <f>SUM(P24:P34)</f>
        <v>20</v>
      </c>
      <c r="Q35" s="55"/>
      <c r="R35" s="55"/>
      <c r="S35" s="55">
        <f>SUM(S24:S34)</f>
        <v>7</v>
      </c>
      <c r="T35" s="55" t="str">
        <f t="shared" si="1"/>
        <v/>
      </c>
      <c r="U35" s="57"/>
      <c r="V35" s="55"/>
      <c r="W35" s="55"/>
      <c r="X35" s="55"/>
      <c r="Y35" s="55"/>
      <c r="Z35" s="55"/>
      <c r="AA35" s="55"/>
      <c r="AB35" s="55"/>
      <c r="AC35" s="55"/>
      <c r="AD35" s="55"/>
    </row>
    <row r="37" spans="1:30" ht="21">
      <c r="A37" s="37"/>
      <c r="B37" s="52">
        <v>1</v>
      </c>
      <c r="C37" s="52">
        <v>2</v>
      </c>
      <c r="D37" s="52">
        <v>3</v>
      </c>
      <c r="E37" s="52">
        <v>4</v>
      </c>
      <c r="F37" s="52">
        <v>5</v>
      </c>
      <c r="G37" s="52">
        <v>6</v>
      </c>
      <c r="H37" s="52">
        <v>7</v>
      </c>
      <c r="I37" s="52">
        <v>8</v>
      </c>
      <c r="J37" s="52">
        <v>9</v>
      </c>
      <c r="K37" s="52">
        <v>10</v>
      </c>
    </row>
    <row r="38" spans="1:30" ht="23.4">
      <c r="A38" s="45" t="s">
        <v>34</v>
      </c>
      <c r="B38" s="53">
        <v>0</v>
      </c>
      <c r="C38" s="53">
        <v>46</v>
      </c>
      <c r="D38" s="53">
        <v>66</v>
      </c>
      <c r="E38" s="53">
        <v>91</v>
      </c>
      <c r="F38" s="53">
        <v>91</v>
      </c>
      <c r="G38" s="53">
        <v>98</v>
      </c>
      <c r="H38" s="53">
        <v>103</v>
      </c>
      <c r="I38" s="53"/>
      <c r="J38" s="53"/>
      <c r="K38" s="53"/>
    </row>
  </sheetData>
  <sortState xmlns:xlrd2="http://schemas.microsoft.com/office/spreadsheetml/2017/richdata2" ref="L24:U35">
    <sortCondition descending="1" ref="S25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A679-C045-43E8-A1F4-2663329A67CE}">
  <sheetPr codeName="Sheet4"/>
  <dimension ref="A1:AD111"/>
  <sheetViews>
    <sheetView topLeftCell="C22" workbookViewId="0">
      <selection activeCell="P40" sqref="P40"/>
    </sheetView>
  </sheetViews>
  <sheetFormatPr defaultRowHeight="14.4"/>
  <cols>
    <col min="9" max="9" width="9.33203125" bestFit="1" customWidth="1"/>
    <col min="17" max="17" width="8.5546875" bestFit="1" customWidth="1"/>
    <col min="18" max="19" width="3.77734375" customWidth="1"/>
    <col min="20" max="29" width="5.21875" customWidth="1"/>
  </cols>
  <sheetData>
    <row r="1" spans="1:29" ht="14.4" customHeight="1">
      <c r="R1" s="180" t="s">
        <v>104</v>
      </c>
      <c r="T1" s="98" t="s">
        <v>35</v>
      </c>
      <c r="U1" s="98">
        <v>0</v>
      </c>
      <c r="V1" s="98">
        <v>1</v>
      </c>
      <c r="W1" s="98">
        <v>2</v>
      </c>
      <c r="X1" s="98">
        <v>3</v>
      </c>
      <c r="Y1" s="98">
        <v>4</v>
      </c>
      <c r="Z1" s="98">
        <v>5</v>
      </c>
      <c r="AA1" s="98">
        <v>6</v>
      </c>
    </row>
    <row r="2" spans="1:29" ht="15" customHeight="1" thickBot="1">
      <c r="A2" s="176"/>
      <c r="B2" s="176" t="s">
        <v>248</v>
      </c>
      <c r="C2" s="176"/>
      <c r="D2" s="177"/>
      <c r="E2" s="178">
        <f>E4-F4</f>
        <v>15531</v>
      </c>
      <c r="F2" s="176"/>
      <c r="G2" s="176"/>
      <c r="H2" s="176"/>
      <c r="I2" s="176"/>
      <c r="J2" s="179"/>
      <c r="K2" s="179"/>
      <c r="L2" s="179">
        <f>SUM(D10:H10)</f>
        <v>41.519734106994839</v>
      </c>
      <c r="M2" s="179" t="s">
        <v>262</v>
      </c>
      <c r="N2" s="179"/>
      <c r="O2" s="179"/>
      <c r="R2" s="134" t="s">
        <v>175</v>
      </c>
      <c r="S2" s="97" t="s">
        <v>110</v>
      </c>
      <c r="T2">
        <v>1.6760884657344044</v>
      </c>
      <c r="U2">
        <v>62.239036001190115</v>
      </c>
      <c r="V2">
        <v>18.680456213428545</v>
      </c>
      <c r="W2">
        <v>3.5025855400178516</v>
      </c>
      <c r="X2">
        <v>1.1675285133392841</v>
      </c>
      <c r="Y2">
        <v>11.841713775662006</v>
      </c>
      <c r="AA2">
        <v>0.89259149062778931</v>
      </c>
      <c r="AC2">
        <f t="shared" ref="AC2:AC9" si="0">100-SUM(T2:AA2)</f>
        <v>0</v>
      </c>
    </row>
    <row r="3" spans="1:29" ht="15" thickBot="1">
      <c r="A3" s="3"/>
      <c r="B3" s="146" t="s">
        <v>202</v>
      </c>
      <c r="C3" s="146" t="s">
        <v>203</v>
      </c>
      <c r="D3" s="146" t="s">
        <v>127</v>
      </c>
      <c r="E3" s="146" t="s">
        <v>217</v>
      </c>
      <c r="F3" s="146" t="s">
        <v>246</v>
      </c>
      <c r="G3" s="146" t="s">
        <v>129</v>
      </c>
      <c r="H3" s="146" t="s">
        <v>131</v>
      </c>
      <c r="I3" s="146" t="s">
        <v>128</v>
      </c>
      <c r="J3" s="146">
        <v>50</v>
      </c>
      <c r="K3" s="146">
        <v>100</v>
      </c>
      <c r="L3" s="146" t="s">
        <v>5</v>
      </c>
      <c r="M3" s="146" t="s">
        <v>6</v>
      </c>
      <c r="N3" s="146" t="s">
        <v>247</v>
      </c>
      <c r="O3" s="3"/>
      <c r="R3" s="134" t="s">
        <v>257</v>
      </c>
      <c r="S3" s="97" t="s">
        <v>109</v>
      </c>
      <c r="T3" s="128">
        <v>0.89181286549707606</v>
      </c>
      <c r="U3" s="128">
        <v>70.7632456140351</v>
      </c>
      <c r="V3" s="128">
        <v>15.297599415204676</v>
      </c>
      <c r="W3" s="128">
        <v>4.3707426900584796</v>
      </c>
      <c r="X3" s="128">
        <v>2.1853713450292398</v>
      </c>
      <c r="Y3" s="128">
        <v>6.1695906432748542</v>
      </c>
      <c r="Z3" s="128"/>
      <c r="AA3" s="128">
        <v>0.32163742690058478</v>
      </c>
      <c r="AC3">
        <f>100-SUM(T3:AA3)</f>
        <v>0</v>
      </c>
    </row>
    <row r="4" spans="1:29" ht="15" thickBot="1">
      <c r="A4" s="3"/>
      <c r="B4" s="147" t="s">
        <v>87</v>
      </c>
      <c r="C4" s="147">
        <v>162</v>
      </c>
      <c r="D4" s="148">
        <v>6579</v>
      </c>
      <c r="E4" s="148">
        <v>15683</v>
      </c>
      <c r="F4" s="147">
        <v>152</v>
      </c>
      <c r="G4" s="147">
        <v>43.3</v>
      </c>
      <c r="H4" s="147">
        <v>41.9</v>
      </c>
      <c r="I4" s="147">
        <v>302</v>
      </c>
      <c r="J4" s="147">
        <v>33</v>
      </c>
      <c r="K4" s="147">
        <v>18</v>
      </c>
      <c r="L4" s="147">
        <v>638</v>
      </c>
      <c r="M4" s="147">
        <v>18</v>
      </c>
      <c r="N4" s="147">
        <v>76.7</v>
      </c>
      <c r="O4" s="3"/>
      <c r="R4" s="134" t="s">
        <v>259</v>
      </c>
      <c r="S4" s="97" t="s">
        <v>108</v>
      </c>
      <c r="T4">
        <v>1.6464131713053705</v>
      </c>
      <c r="U4">
        <v>73.900000000000006</v>
      </c>
      <c r="V4">
        <v>12.827689794851683</v>
      </c>
      <c r="W4">
        <v>3.6650542271004816</v>
      </c>
      <c r="X4">
        <v>1.8325271135502408</v>
      </c>
      <c r="Y4">
        <v>5.9584476675813409</v>
      </c>
      <c r="AA4">
        <v>0.16986802561087155</v>
      </c>
      <c r="AC4">
        <f t="shared" si="0"/>
        <v>0</v>
      </c>
    </row>
    <row r="5" spans="1:29">
      <c r="A5" s="3"/>
      <c r="B5" s="163" t="s">
        <v>35</v>
      </c>
      <c r="C5" s="163">
        <v>0</v>
      </c>
      <c r="D5" s="164">
        <v>1</v>
      </c>
      <c r="E5" s="164">
        <v>2</v>
      </c>
      <c r="F5" s="164">
        <v>3</v>
      </c>
      <c r="G5" s="163">
        <v>4</v>
      </c>
      <c r="H5" s="163">
        <v>6</v>
      </c>
      <c r="I5" s="163" t="s">
        <v>251</v>
      </c>
      <c r="J5" s="163" t="s">
        <v>87</v>
      </c>
      <c r="K5" s="163" t="s">
        <v>250</v>
      </c>
      <c r="L5" s="3"/>
      <c r="M5" s="3"/>
      <c r="N5" s="3"/>
      <c r="O5" s="3"/>
      <c r="R5" s="134" t="s">
        <v>258</v>
      </c>
      <c r="S5" s="97" t="s">
        <v>107</v>
      </c>
      <c r="T5">
        <v>1.03531360590317</v>
      </c>
      <c r="U5">
        <v>74.619373541149017</v>
      </c>
      <c r="V5">
        <v>14.147848430088093</v>
      </c>
      <c r="W5">
        <v>3.7727595813568247</v>
      </c>
      <c r="X5">
        <v>0.94318989533920616</v>
      </c>
      <c r="Y5">
        <v>5.4401024019275654</v>
      </c>
      <c r="AA5">
        <v>4.1412544236126794E-2</v>
      </c>
      <c r="AC5">
        <f t="shared" si="0"/>
        <v>0</v>
      </c>
    </row>
    <row r="6" spans="1:29">
      <c r="A6" s="3" t="s">
        <v>3</v>
      </c>
      <c r="B6" s="165"/>
      <c r="C6" s="165"/>
      <c r="D6" s="165">
        <f>D8*(D4-I6)</f>
        <v>2939.25</v>
      </c>
      <c r="E6" s="165">
        <f>E8*(D4-I6)</f>
        <v>783.80000000000007</v>
      </c>
      <c r="F6" s="165">
        <f>F8*(D4-I6)</f>
        <v>195.95000000000002</v>
      </c>
      <c r="G6" s="165">
        <f>L4*4</f>
        <v>2552</v>
      </c>
      <c r="H6" s="165">
        <f>M4*6</f>
        <v>108</v>
      </c>
      <c r="I6" s="172">
        <f>SUM(G6:H6)</f>
        <v>2660</v>
      </c>
      <c r="J6" s="3">
        <f>SUM(D6:H6)</f>
        <v>6579</v>
      </c>
      <c r="K6" s="172">
        <f>D4- J6</f>
        <v>0</v>
      </c>
      <c r="L6" s="3"/>
      <c r="M6" s="3"/>
      <c r="N6" s="3"/>
      <c r="O6" s="3"/>
      <c r="R6" s="134" t="s">
        <v>254</v>
      </c>
      <c r="S6" s="97" t="s">
        <v>106</v>
      </c>
      <c r="T6">
        <v>1.7427385892116183</v>
      </c>
      <c r="U6">
        <v>80.570954356846471</v>
      </c>
      <c r="V6">
        <v>9.7663070539419099</v>
      </c>
      <c r="W6">
        <v>2.7903734439834031</v>
      </c>
      <c r="X6">
        <v>1.3951867219917016</v>
      </c>
      <c r="Y6">
        <v>3.7067773167358231</v>
      </c>
      <c r="AA6">
        <v>2.7662517289073305E-2</v>
      </c>
      <c r="AC6">
        <f>100-SUM(T6:AA6)</f>
        <v>0</v>
      </c>
    </row>
    <row r="7" spans="1:29" ht="14.4" customHeight="1">
      <c r="A7" s="3" t="s">
        <v>4</v>
      </c>
      <c r="B7" s="165">
        <f>F4</f>
        <v>152</v>
      </c>
      <c r="C7" s="165">
        <f>N4*E2/100</f>
        <v>11912.277</v>
      </c>
      <c r="D7" s="165">
        <f>D8*(E4-I7)</f>
        <v>2222.04225</v>
      </c>
      <c r="E7" s="165">
        <f>E8*(E4-I7)</f>
        <v>592.54460000000006</v>
      </c>
      <c r="F7" s="165">
        <f>F8*(E4-I7)</f>
        <v>148.13615000000001</v>
      </c>
      <c r="G7" s="173">
        <f>L4</f>
        <v>638</v>
      </c>
      <c r="H7" s="165">
        <f>M4</f>
        <v>18</v>
      </c>
      <c r="I7" s="171">
        <f>SUM(B7:C7,G7:H7)</f>
        <v>12720.277</v>
      </c>
      <c r="J7" s="3">
        <f>SUM(B7:H7)</f>
        <v>15683</v>
      </c>
      <c r="K7" s="172">
        <f>E4-J7</f>
        <v>0</v>
      </c>
      <c r="L7" s="3"/>
      <c r="M7" s="3"/>
      <c r="N7" s="3"/>
      <c r="O7" s="3"/>
      <c r="R7" s="134" t="s">
        <v>260</v>
      </c>
      <c r="S7" s="97" t="s">
        <v>111</v>
      </c>
      <c r="T7">
        <v>3.3140016570008286</v>
      </c>
      <c r="U7">
        <v>78.702402651201325</v>
      </c>
      <c r="V7">
        <v>9.1958077879038882</v>
      </c>
      <c r="W7">
        <v>2.6273736536868251</v>
      </c>
      <c r="X7">
        <v>1.3136868268434125</v>
      </c>
      <c r="Y7">
        <v>4.4739022369511181</v>
      </c>
      <c r="AA7">
        <v>0.37282518641259321</v>
      </c>
      <c r="AC7">
        <f>100-SUM(T7:AA7)</f>
        <v>0</v>
      </c>
    </row>
    <row r="8" spans="1:29">
      <c r="A8" s="3"/>
      <c r="B8" s="3"/>
      <c r="C8" s="3"/>
      <c r="D8" s="167">
        <v>0.75</v>
      </c>
      <c r="E8" s="167">
        <v>0.2</v>
      </c>
      <c r="F8" s="167">
        <v>0.05</v>
      </c>
      <c r="G8" s="3"/>
      <c r="H8" s="3"/>
      <c r="I8" s="3"/>
      <c r="J8" s="3"/>
      <c r="K8" s="3"/>
      <c r="L8">
        <f>H4</f>
        <v>41.9</v>
      </c>
      <c r="M8" t="s">
        <v>264</v>
      </c>
      <c r="N8" s="3"/>
      <c r="O8" s="3"/>
      <c r="R8" s="134" t="s">
        <v>266</v>
      </c>
      <c r="S8" s="97" t="s">
        <v>112</v>
      </c>
      <c r="T8">
        <v>6.9060773480662982</v>
      </c>
      <c r="U8">
        <v>73.54419889502762</v>
      </c>
      <c r="V8">
        <v>6.4599447513812134</v>
      </c>
      <c r="W8">
        <v>3.8759668508287279</v>
      </c>
      <c r="X8">
        <v>2.5839779005524854</v>
      </c>
      <c r="Y8">
        <v>6.2154696132596685</v>
      </c>
      <c r="AA8">
        <v>0.4143646408839779</v>
      </c>
      <c r="AC8">
        <f t="shared" si="0"/>
        <v>0</v>
      </c>
    </row>
    <row r="9" spans="1:29">
      <c r="A9" s="168" t="s">
        <v>249</v>
      </c>
      <c r="B9" s="168">
        <f>100*F4/E4</f>
        <v>0.96920232098450554</v>
      </c>
      <c r="C9" s="168">
        <f>100*C7/E4</f>
        <v>75.95662181980488</v>
      </c>
      <c r="D9" s="168">
        <f>100*D7/E4</f>
        <v>14.168477013326532</v>
      </c>
      <c r="E9" s="168">
        <f>100*E7/E4</f>
        <v>3.7782605368870756</v>
      </c>
      <c r="F9" s="168">
        <f>100*F7/E4</f>
        <v>0.94456513422176891</v>
      </c>
      <c r="G9" s="170">
        <f>100*L4/E4</f>
        <v>4.0680992157112801</v>
      </c>
      <c r="H9" s="170">
        <f>100*M4/E4</f>
        <v>0.1147739590639546</v>
      </c>
      <c r="I9" s="168"/>
      <c r="J9" s="168">
        <f>SUM(B9:H9)</f>
        <v>100.00000000000001</v>
      </c>
      <c r="K9" s="3"/>
      <c r="L9">
        <f>SUM(D10:H10)</f>
        <v>41.519734106994839</v>
      </c>
      <c r="M9" t="s">
        <v>261</v>
      </c>
      <c r="N9" s="3"/>
      <c r="O9" s="3"/>
      <c r="R9" s="134" t="s">
        <v>178</v>
      </c>
      <c r="S9" s="97" t="s">
        <v>113</v>
      </c>
      <c r="T9">
        <v>8.1699346405228752</v>
      </c>
      <c r="U9">
        <v>78.055555555555557</v>
      </c>
      <c r="V9">
        <v>5.8676470588235246</v>
      </c>
      <c r="W9">
        <v>1.6764705882352926</v>
      </c>
      <c r="X9">
        <v>0.8382352941176463</v>
      </c>
      <c r="Y9">
        <v>4.5751633986928102</v>
      </c>
      <c r="AA9">
        <v>0.81699346405228757</v>
      </c>
      <c r="AC9">
        <f t="shared" si="0"/>
        <v>0</v>
      </c>
    </row>
    <row r="10" spans="1:29">
      <c r="A10" s="3"/>
      <c r="B10" s="3"/>
      <c r="C10" s="3"/>
      <c r="D10" s="165">
        <f t="shared" ref="D10:G10" si="1">D9*D5</f>
        <v>14.168477013326532</v>
      </c>
      <c r="E10" s="165">
        <f t="shared" si="1"/>
        <v>7.5565210737741513</v>
      </c>
      <c r="F10" s="165">
        <f t="shared" si="1"/>
        <v>2.833695402665307</v>
      </c>
      <c r="G10" s="165">
        <f t="shared" si="1"/>
        <v>16.27239686284512</v>
      </c>
      <c r="H10" s="165">
        <f>H9*H5</f>
        <v>0.6886437543837276</v>
      </c>
      <c r="I10" s="165"/>
      <c r="L10" s="165"/>
      <c r="M10" s="165"/>
      <c r="N10" s="3"/>
      <c r="O10" s="3"/>
      <c r="R10" s="134" t="s">
        <v>263</v>
      </c>
      <c r="S10" s="97" t="s">
        <v>114</v>
      </c>
      <c r="T10">
        <v>8.4078711985688734</v>
      </c>
      <c r="U10">
        <v>82.707692307692298</v>
      </c>
      <c r="V10">
        <v>3.27942754919499</v>
      </c>
      <c r="W10">
        <v>1.9676565295169939</v>
      </c>
      <c r="X10">
        <v>1.3117710196779959</v>
      </c>
      <c r="Y10">
        <v>2.3255813953488373</v>
      </c>
      <c r="AA10">
        <v>0</v>
      </c>
      <c r="AC10">
        <f>100-SUM(T10:AA10)</f>
        <v>0</v>
      </c>
    </row>
    <row r="11" spans="1:29">
      <c r="A11" s="3"/>
      <c r="B11" s="3"/>
      <c r="C11" s="3"/>
      <c r="D11" s="169"/>
      <c r="E11" s="3"/>
      <c r="F11" s="3"/>
      <c r="G11" s="3"/>
      <c r="H11" s="3"/>
      <c r="I11" s="3"/>
      <c r="J11" s="165"/>
      <c r="K11" s="165"/>
      <c r="L11" s="3"/>
      <c r="M11" s="3"/>
      <c r="N11" s="3"/>
      <c r="O11" s="3"/>
      <c r="R11" s="100"/>
    </row>
    <row r="12" spans="1:29" ht="15" thickBot="1">
      <c r="A12" s="176"/>
      <c r="B12" s="176" t="s">
        <v>175</v>
      </c>
      <c r="C12" s="176"/>
      <c r="D12" s="177"/>
      <c r="E12" s="178">
        <f>E14-F14</f>
        <v>9914</v>
      </c>
      <c r="F12" s="176"/>
      <c r="G12" s="176"/>
      <c r="H12" s="176"/>
      <c r="I12" s="176"/>
      <c r="J12" s="179"/>
      <c r="K12" s="179"/>
      <c r="L12" s="179">
        <f>SUM(D20:H20)</f>
        <v>81.910616879896864</v>
      </c>
      <c r="M12" s="179" t="s">
        <v>261</v>
      </c>
      <c r="N12" s="179"/>
      <c r="O12" s="179"/>
      <c r="R12" s="100"/>
      <c r="T12" s="98" t="s">
        <v>35</v>
      </c>
      <c r="U12" s="98">
        <v>0</v>
      </c>
      <c r="V12" s="98">
        <v>1</v>
      </c>
      <c r="W12" s="98">
        <v>2</v>
      </c>
      <c r="X12" s="98">
        <v>3</v>
      </c>
      <c r="Y12" s="98">
        <v>4</v>
      </c>
      <c r="Z12" s="98">
        <v>5</v>
      </c>
      <c r="AA12" s="98">
        <v>6</v>
      </c>
    </row>
    <row r="13" spans="1:29" ht="15" thickBot="1">
      <c r="A13" s="142"/>
      <c r="B13" s="143" t="s">
        <v>202</v>
      </c>
      <c r="C13" s="143" t="s">
        <v>203</v>
      </c>
      <c r="D13" s="143" t="s">
        <v>127</v>
      </c>
      <c r="E13" s="143" t="s">
        <v>217</v>
      </c>
      <c r="F13" s="143" t="s">
        <v>246</v>
      </c>
      <c r="G13" s="143" t="s">
        <v>129</v>
      </c>
      <c r="H13" s="143" t="s">
        <v>131</v>
      </c>
      <c r="I13" s="143" t="s">
        <v>128</v>
      </c>
      <c r="J13" s="143">
        <v>50</v>
      </c>
      <c r="K13" s="143">
        <v>100</v>
      </c>
      <c r="L13" s="143" t="s">
        <v>5</v>
      </c>
      <c r="M13" s="143" t="s">
        <v>6</v>
      </c>
      <c r="N13" s="143" t="s">
        <v>247</v>
      </c>
      <c r="O13" s="142"/>
      <c r="R13" s="100" t="str">
        <f>R2</f>
        <v>Sehwag</v>
      </c>
      <c r="S13" s="97" t="s">
        <v>110</v>
      </c>
      <c r="T13">
        <v>0</v>
      </c>
      <c r="U13">
        <f t="shared" ref="U13:U21" si="2">T2</f>
        <v>1.6760884657344044</v>
      </c>
      <c r="V13">
        <f t="shared" ref="V13:AB21" si="3">U13+U2</f>
        <v>63.915124466924517</v>
      </c>
      <c r="W13">
        <f t="shared" si="3"/>
        <v>82.595580680353066</v>
      </c>
      <c r="X13">
        <f t="shared" si="3"/>
        <v>86.098166220370913</v>
      </c>
      <c r="Y13">
        <f t="shared" si="3"/>
        <v>87.265694733710191</v>
      </c>
      <c r="Z13">
        <f t="shared" si="3"/>
        <v>99.107408509372192</v>
      </c>
      <c r="AA13">
        <f t="shared" si="3"/>
        <v>99.107408509372192</v>
      </c>
      <c r="AB13">
        <f t="shared" si="3"/>
        <v>99.999999999999986</v>
      </c>
    </row>
    <row r="14" spans="1:29" ht="15" thickBot="1">
      <c r="A14" s="142"/>
      <c r="B14" s="144" t="s">
        <v>87</v>
      </c>
      <c r="C14" s="144">
        <v>175</v>
      </c>
      <c r="D14" s="145">
        <v>8351</v>
      </c>
      <c r="E14" s="145">
        <v>10083</v>
      </c>
      <c r="F14" s="144">
        <v>169</v>
      </c>
      <c r="G14" s="144">
        <v>49.4</v>
      </c>
      <c r="H14" s="144">
        <v>82.8</v>
      </c>
      <c r="I14" s="144">
        <v>319</v>
      </c>
      <c r="J14" s="144">
        <v>31</v>
      </c>
      <c r="K14" s="144">
        <v>22</v>
      </c>
      <c r="L14" s="145">
        <v>1194</v>
      </c>
      <c r="M14" s="144">
        <v>90</v>
      </c>
      <c r="N14" s="144">
        <v>63.3</v>
      </c>
      <c r="O14" s="142"/>
      <c r="R14" s="100" t="str">
        <f t="shared" ref="R14:R21" si="4">R3</f>
        <v>Steve Smith</v>
      </c>
      <c r="S14" s="97" t="s">
        <v>109</v>
      </c>
      <c r="T14">
        <v>0</v>
      </c>
      <c r="U14">
        <f t="shared" si="2"/>
        <v>0.89181286549707606</v>
      </c>
      <c r="V14">
        <f t="shared" si="3"/>
        <v>71.655058479532173</v>
      </c>
      <c r="W14">
        <f t="shared" si="3"/>
        <v>86.952657894736845</v>
      </c>
      <c r="X14">
        <f t="shared" si="3"/>
        <v>91.323400584795323</v>
      </c>
      <c r="Y14">
        <f t="shared" si="3"/>
        <v>93.508771929824562</v>
      </c>
      <c r="Z14">
        <f t="shared" si="3"/>
        <v>99.67836257309942</v>
      </c>
      <c r="AA14">
        <f t="shared" si="3"/>
        <v>99.67836257309942</v>
      </c>
      <c r="AB14">
        <f t="shared" si="3"/>
        <v>100</v>
      </c>
    </row>
    <row r="15" spans="1:29">
      <c r="A15" s="3"/>
      <c r="B15" s="163" t="s">
        <v>35</v>
      </c>
      <c r="C15" s="163">
        <v>0</v>
      </c>
      <c r="D15" s="164">
        <v>1</v>
      </c>
      <c r="E15" s="164">
        <v>2</v>
      </c>
      <c r="F15" s="164">
        <v>3</v>
      </c>
      <c r="G15" s="163">
        <v>4</v>
      </c>
      <c r="H15" s="163">
        <v>6</v>
      </c>
      <c r="I15" s="163" t="s">
        <v>251</v>
      </c>
      <c r="J15" s="163" t="s">
        <v>87</v>
      </c>
      <c r="K15" s="163" t="s">
        <v>250</v>
      </c>
      <c r="L15" s="3"/>
      <c r="M15" s="3"/>
      <c r="N15" s="3"/>
      <c r="O15" s="3"/>
      <c r="R15" s="100" t="str">
        <f t="shared" si="4"/>
        <v>Marc Boucher</v>
      </c>
      <c r="S15" s="97" t="s">
        <v>108</v>
      </c>
      <c r="T15">
        <v>0</v>
      </c>
      <c r="U15">
        <f t="shared" si="2"/>
        <v>1.6464131713053705</v>
      </c>
      <c r="V15">
        <f t="shared" si="3"/>
        <v>75.546413171305375</v>
      </c>
      <c r="W15">
        <f t="shared" si="3"/>
        <v>88.374102966157054</v>
      </c>
      <c r="X15">
        <f t="shared" si="3"/>
        <v>92.039157193257537</v>
      </c>
      <c r="Y15">
        <f t="shared" si="3"/>
        <v>93.871684306807779</v>
      </c>
      <c r="Z15">
        <f t="shared" si="3"/>
        <v>99.830131974389118</v>
      </c>
      <c r="AA15">
        <f t="shared" si="3"/>
        <v>99.830131974389118</v>
      </c>
      <c r="AB15">
        <f t="shared" si="3"/>
        <v>99.999999999999986</v>
      </c>
    </row>
    <row r="16" spans="1:29">
      <c r="A16" s="3" t="s">
        <v>3</v>
      </c>
      <c r="B16" s="165"/>
      <c r="C16" s="165"/>
      <c r="D16" s="165">
        <f>D18*(D14-I16)</f>
        <v>2428</v>
      </c>
      <c r="E16" s="165">
        <f>E18*(D14-I16)</f>
        <v>455.25</v>
      </c>
      <c r="F16" s="165">
        <f>F18*(D14-I16)</f>
        <v>151.75</v>
      </c>
      <c r="G16" s="165">
        <f>L14*4</f>
        <v>4776</v>
      </c>
      <c r="H16" s="165">
        <f>M14*6</f>
        <v>540</v>
      </c>
      <c r="I16" s="172">
        <f>SUM(G16:H16)</f>
        <v>5316</v>
      </c>
      <c r="J16" s="3">
        <f>SUM(D16:H16)</f>
        <v>8351</v>
      </c>
      <c r="K16" s="172">
        <f>D14- J16</f>
        <v>0</v>
      </c>
      <c r="L16" s="3"/>
      <c r="M16" s="3"/>
      <c r="N16" s="3"/>
      <c r="O16" s="3"/>
      <c r="R16" s="100" t="str">
        <f t="shared" si="4"/>
        <v>Cook</v>
      </c>
      <c r="S16" s="97" t="s">
        <v>107</v>
      </c>
      <c r="T16">
        <v>0</v>
      </c>
      <c r="U16">
        <f t="shared" si="2"/>
        <v>1.03531360590317</v>
      </c>
      <c r="V16">
        <f t="shared" si="3"/>
        <v>75.654687147052186</v>
      </c>
      <c r="W16">
        <f t="shared" si="3"/>
        <v>89.802535577140276</v>
      </c>
      <c r="X16">
        <f t="shared" si="3"/>
        <v>93.575295158497099</v>
      </c>
      <c r="Y16">
        <f t="shared" si="3"/>
        <v>94.518485053836301</v>
      </c>
      <c r="Z16">
        <f t="shared" si="3"/>
        <v>99.958587455763862</v>
      </c>
      <c r="AA16">
        <f t="shared" si="3"/>
        <v>99.958587455763862</v>
      </c>
      <c r="AB16">
        <f t="shared" si="3"/>
        <v>99.999999999999986</v>
      </c>
    </row>
    <row r="17" spans="1:29">
      <c r="A17" s="3" t="s">
        <v>4</v>
      </c>
      <c r="B17" s="165">
        <f>F14</f>
        <v>169</v>
      </c>
      <c r="C17" s="165">
        <f>N14*E12/100</f>
        <v>6275.5619999999999</v>
      </c>
      <c r="D17" s="165">
        <f>D18*(E14-I17)</f>
        <v>1883.5504000000001</v>
      </c>
      <c r="E17" s="165">
        <f>E18*(E14-I17)</f>
        <v>353.16570000000002</v>
      </c>
      <c r="F17" s="165">
        <f>F18*(E14-I17)</f>
        <v>117.72190000000001</v>
      </c>
      <c r="G17" s="173">
        <f>L14</f>
        <v>1194</v>
      </c>
      <c r="H17" s="165">
        <f>M14</f>
        <v>90</v>
      </c>
      <c r="I17" s="171">
        <f>SUM(B17:C17,G17:H17)</f>
        <v>7728.5619999999999</v>
      </c>
      <c r="J17" s="3">
        <f>SUM(B17:H17)</f>
        <v>10083</v>
      </c>
      <c r="K17" s="172">
        <f>E14-J17</f>
        <v>0</v>
      </c>
      <c r="L17" s="3"/>
      <c r="M17" s="3"/>
      <c r="N17" s="3"/>
      <c r="O17" s="3"/>
      <c r="R17" s="100" t="str">
        <f t="shared" si="4"/>
        <v>Khaled Mashud</v>
      </c>
      <c r="S17" s="97" t="s">
        <v>106</v>
      </c>
      <c r="T17">
        <v>0</v>
      </c>
      <c r="U17">
        <f t="shared" si="2"/>
        <v>1.7427385892116183</v>
      </c>
      <c r="V17">
        <f t="shared" si="3"/>
        <v>82.313692946058083</v>
      </c>
      <c r="W17">
        <f t="shared" si="3"/>
        <v>92.08</v>
      </c>
      <c r="X17">
        <f t="shared" si="3"/>
        <v>94.870373443983397</v>
      </c>
      <c r="Y17">
        <f t="shared" si="3"/>
        <v>96.265560165975103</v>
      </c>
      <c r="Z17">
        <f t="shared" si="3"/>
        <v>99.972337482710927</v>
      </c>
      <c r="AA17">
        <f t="shared" si="3"/>
        <v>99.972337482710927</v>
      </c>
      <c r="AB17">
        <f t="shared" si="3"/>
        <v>100</v>
      </c>
    </row>
    <row r="18" spans="1:29">
      <c r="A18" s="3"/>
      <c r="B18" s="3"/>
      <c r="C18" s="3"/>
      <c r="D18" s="167">
        <v>0.8</v>
      </c>
      <c r="E18" s="167">
        <v>0.15</v>
      </c>
      <c r="F18" s="167">
        <v>0.05</v>
      </c>
      <c r="G18" s="3"/>
      <c r="H18" s="3"/>
      <c r="I18" s="3"/>
      <c r="J18" s="3"/>
      <c r="K18" s="3"/>
      <c r="L18">
        <f>H14</f>
        <v>82.8</v>
      </c>
      <c r="M18" t="s">
        <v>264</v>
      </c>
      <c r="N18" s="3"/>
      <c r="O18" s="3"/>
      <c r="R18" s="100" t="str">
        <f t="shared" si="4"/>
        <v>Kemar Roach</v>
      </c>
      <c r="S18" s="97" t="s">
        <v>111</v>
      </c>
      <c r="T18">
        <v>0</v>
      </c>
      <c r="U18">
        <f t="shared" si="2"/>
        <v>3.3140016570008286</v>
      </c>
      <c r="V18">
        <f t="shared" si="3"/>
        <v>82.016404308202155</v>
      </c>
      <c r="W18">
        <f t="shared" si="3"/>
        <v>91.212212096106043</v>
      </c>
      <c r="X18">
        <f t="shared" si="3"/>
        <v>93.839585749792874</v>
      </c>
      <c r="Y18">
        <f t="shared" si="3"/>
        <v>95.153272576636283</v>
      </c>
      <c r="Z18">
        <f t="shared" si="3"/>
        <v>99.627174813587402</v>
      </c>
      <c r="AA18">
        <f t="shared" si="3"/>
        <v>99.627174813587402</v>
      </c>
      <c r="AB18">
        <f t="shared" si="3"/>
        <v>100</v>
      </c>
    </row>
    <row r="19" spans="1:29">
      <c r="A19" s="168" t="s">
        <v>249</v>
      </c>
      <c r="B19" s="168">
        <f>100*F14/E14</f>
        <v>1.6760884657344044</v>
      </c>
      <c r="C19" s="168">
        <f>100*C17/E14</f>
        <v>62.239036001190115</v>
      </c>
      <c r="D19" s="168">
        <f>100*D17/E14</f>
        <v>18.680456213428545</v>
      </c>
      <c r="E19" s="168">
        <f>100*E17/E14</f>
        <v>3.5025855400178516</v>
      </c>
      <c r="F19" s="168">
        <f>100*F17/E14</f>
        <v>1.1675285133392841</v>
      </c>
      <c r="G19" s="170">
        <f>100*L14/E14</f>
        <v>11.841713775662006</v>
      </c>
      <c r="H19" s="170">
        <f>100*M14/E14</f>
        <v>0.89259149062778931</v>
      </c>
      <c r="I19" s="168"/>
      <c r="J19" s="168">
        <f>SUM(B19:H19)</f>
        <v>99.999999999999986</v>
      </c>
      <c r="K19" s="3"/>
      <c r="L19">
        <f>SUM(D20:H20)</f>
        <v>81.910616879896864</v>
      </c>
      <c r="M19" t="s">
        <v>261</v>
      </c>
      <c r="N19" s="3"/>
      <c r="O19" s="3"/>
      <c r="R19" s="100" t="str">
        <f t="shared" si="4"/>
        <v>Danesh Kaneria</v>
      </c>
      <c r="S19" s="97" t="s">
        <v>112</v>
      </c>
      <c r="T19">
        <v>0</v>
      </c>
      <c r="U19">
        <f t="shared" si="2"/>
        <v>6.9060773480662982</v>
      </c>
      <c r="V19">
        <f t="shared" si="3"/>
        <v>80.450276243093924</v>
      </c>
      <c r="W19">
        <f t="shared" si="3"/>
        <v>86.910220994475139</v>
      </c>
      <c r="X19">
        <f t="shared" si="3"/>
        <v>90.786187845303871</v>
      </c>
      <c r="Y19">
        <f t="shared" si="3"/>
        <v>93.370165745856355</v>
      </c>
      <c r="Z19">
        <f t="shared" si="3"/>
        <v>99.585635359116026</v>
      </c>
      <c r="AA19">
        <f t="shared" si="3"/>
        <v>99.585635359116026</v>
      </c>
      <c r="AB19">
        <f t="shared" si="3"/>
        <v>100</v>
      </c>
    </row>
    <row r="20" spans="1:29">
      <c r="A20" s="3"/>
      <c r="B20" s="3"/>
      <c r="C20" s="3"/>
      <c r="D20" s="165">
        <f t="shared" ref="D20:G20" si="5">D19*D15</f>
        <v>18.680456213428545</v>
      </c>
      <c r="E20" s="165">
        <f t="shared" si="5"/>
        <v>7.0051710800357032</v>
      </c>
      <c r="F20" s="165">
        <f t="shared" si="5"/>
        <v>3.5025855400178525</v>
      </c>
      <c r="G20" s="165">
        <f t="shared" si="5"/>
        <v>47.366855102648024</v>
      </c>
      <c r="H20" s="165">
        <f>H19*H15</f>
        <v>5.3555489437667356</v>
      </c>
      <c r="I20" s="165"/>
      <c r="L20" s="165"/>
      <c r="M20" s="165"/>
      <c r="N20" s="3"/>
      <c r="O20" s="3"/>
      <c r="R20" s="100" t="str">
        <f t="shared" si="4"/>
        <v>Shannon Gabriel</v>
      </c>
      <c r="S20" s="97" t="s">
        <v>113</v>
      </c>
      <c r="T20">
        <v>0</v>
      </c>
      <c r="U20">
        <f t="shared" si="2"/>
        <v>8.1699346405228752</v>
      </c>
      <c r="V20">
        <f t="shared" si="3"/>
        <v>86.225490196078425</v>
      </c>
      <c r="W20">
        <f t="shared" si="3"/>
        <v>92.093137254901947</v>
      </c>
      <c r="X20">
        <f t="shared" si="3"/>
        <v>93.769607843137237</v>
      </c>
      <c r="Y20">
        <f t="shared" si="3"/>
        <v>94.607843137254889</v>
      </c>
      <c r="Z20">
        <f t="shared" si="3"/>
        <v>99.183006535947698</v>
      </c>
      <c r="AA20">
        <f t="shared" si="3"/>
        <v>99.183006535947698</v>
      </c>
      <c r="AB20">
        <f t="shared" si="3"/>
        <v>99.999999999999986</v>
      </c>
    </row>
    <row r="21" spans="1:29">
      <c r="A21" s="3"/>
      <c r="B21" s="3"/>
      <c r="C21" s="3"/>
      <c r="D21" s="169"/>
      <c r="E21" s="3"/>
      <c r="F21" s="3"/>
      <c r="G21" s="3"/>
      <c r="H21" s="3"/>
      <c r="I21" s="3"/>
      <c r="J21" s="165"/>
      <c r="K21" s="165"/>
      <c r="L21" s="3"/>
      <c r="M21" s="3"/>
      <c r="N21" s="3"/>
      <c r="O21" s="3"/>
      <c r="R21" s="100" t="str">
        <f t="shared" si="4"/>
        <v>Chris Martin</v>
      </c>
      <c r="S21" s="97" t="s">
        <v>114</v>
      </c>
      <c r="T21">
        <v>0</v>
      </c>
      <c r="U21">
        <f t="shared" si="2"/>
        <v>8.4078711985688734</v>
      </c>
      <c r="V21">
        <f t="shared" si="3"/>
        <v>91.115563506261168</v>
      </c>
      <c r="W21">
        <f t="shared" si="3"/>
        <v>94.39499105545616</v>
      </c>
      <c r="X21">
        <f t="shared" si="3"/>
        <v>96.362647584973161</v>
      </c>
      <c r="Y21">
        <f t="shared" si="3"/>
        <v>97.674418604651152</v>
      </c>
      <c r="Z21">
        <f t="shared" si="3"/>
        <v>99.999999999999986</v>
      </c>
      <c r="AA21">
        <f t="shared" si="3"/>
        <v>99.999999999999986</v>
      </c>
      <c r="AB21">
        <f t="shared" si="3"/>
        <v>99.999999999999986</v>
      </c>
    </row>
    <row r="22" spans="1:29" ht="15" thickBot="1">
      <c r="A22" s="176"/>
      <c r="B22" s="176" t="s">
        <v>178</v>
      </c>
      <c r="C22" s="176"/>
      <c r="D22" s="177"/>
      <c r="E22" s="178">
        <f>E24-F24</f>
        <v>562</v>
      </c>
      <c r="F22" s="176"/>
      <c r="G22" s="176"/>
      <c r="H22" s="176">
        <f>100*D24/E24</f>
        <v>35.457516339869279</v>
      </c>
      <c r="I22" s="176"/>
      <c r="J22" s="179"/>
      <c r="K22" s="179"/>
      <c r="L22" s="179">
        <f>SUM(D30:H30)</f>
        <v>34.937908496732014</v>
      </c>
      <c r="M22" s="179" t="s">
        <v>261</v>
      </c>
      <c r="N22" s="179"/>
      <c r="O22" s="179"/>
    </row>
    <row r="23" spans="1:29" ht="15" thickBot="1">
      <c r="B23" s="143" t="s">
        <v>202</v>
      </c>
      <c r="C23" s="143" t="s">
        <v>203</v>
      </c>
      <c r="D23" s="143" t="s">
        <v>127</v>
      </c>
      <c r="E23" s="143" t="s">
        <v>217</v>
      </c>
      <c r="F23" s="143" t="s">
        <v>246</v>
      </c>
      <c r="G23" s="143" t="s">
        <v>129</v>
      </c>
      <c r="H23" s="143" t="s">
        <v>131</v>
      </c>
      <c r="I23" s="143" t="s">
        <v>128</v>
      </c>
      <c r="J23" s="143">
        <v>50</v>
      </c>
      <c r="K23" s="143">
        <v>100</v>
      </c>
      <c r="L23" s="143" t="s">
        <v>5</v>
      </c>
      <c r="M23" s="143" t="s">
        <v>6</v>
      </c>
      <c r="N23" s="143" t="s">
        <v>247</v>
      </c>
      <c r="P23" t="s">
        <v>256</v>
      </c>
    </row>
    <row r="24" spans="1:29" ht="15" thickBot="1">
      <c r="B24" s="144" t="s">
        <v>87</v>
      </c>
      <c r="C24" s="144">
        <v>78</v>
      </c>
      <c r="D24" s="144">
        <v>217</v>
      </c>
      <c r="E24" s="144">
        <v>612</v>
      </c>
      <c r="F24" s="144">
        <v>50</v>
      </c>
      <c r="G24" s="144">
        <v>4.3</v>
      </c>
      <c r="H24" s="144">
        <v>35.5</v>
      </c>
      <c r="I24" s="144">
        <v>20</v>
      </c>
      <c r="J24" s="144">
        <v>0</v>
      </c>
      <c r="K24" s="144">
        <v>0</v>
      </c>
      <c r="L24" s="144">
        <v>28</v>
      </c>
      <c r="M24" s="144">
        <v>5</v>
      </c>
      <c r="N24" s="144">
        <v>85</v>
      </c>
      <c r="R24" s="100"/>
      <c r="T24" s="98" t="s">
        <v>35</v>
      </c>
      <c r="U24" s="98">
        <v>0</v>
      </c>
      <c r="V24" s="98">
        <v>1</v>
      </c>
      <c r="W24" s="98">
        <v>2</v>
      </c>
      <c r="X24" s="98">
        <v>3</v>
      </c>
      <c r="Y24" s="98">
        <v>4</v>
      </c>
      <c r="Z24" s="98">
        <v>5</v>
      </c>
      <c r="AA24" s="98">
        <v>6</v>
      </c>
    </row>
    <row r="25" spans="1:29">
      <c r="A25" s="3"/>
      <c r="B25" s="163" t="s">
        <v>35</v>
      </c>
      <c r="C25" s="163">
        <v>0</v>
      </c>
      <c r="D25" s="164">
        <v>1</v>
      </c>
      <c r="E25" s="164">
        <v>2</v>
      </c>
      <c r="F25" s="164">
        <v>3</v>
      </c>
      <c r="G25" s="163">
        <v>4</v>
      </c>
      <c r="H25" s="163">
        <v>6</v>
      </c>
      <c r="I25" s="163" t="s">
        <v>251</v>
      </c>
      <c r="J25" s="163" t="s">
        <v>87</v>
      </c>
      <c r="K25" s="163" t="s">
        <v>250</v>
      </c>
      <c r="L25" s="3"/>
      <c r="M25" s="3"/>
      <c r="N25" s="3"/>
      <c r="O25" s="3"/>
      <c r="Q25" t="s">
        <v>210</v>
      </c>
      <c r="R25" s="215" t="s">
        <v>104</v>
      </c>
      <c r="S25" s="97" t="s">
        <v>110</v>
      </c>
      <c r="T25">
        <v>1</v>
      </c>
      <c r="U25">
        <f>U2*U1</f>
        <v>0</v>
      </c>
      <c r="V25">
        <f t="shared" ref="V25:AA25" si="6">V2*V1</f>
        <v>18.680456213428545</v>
      </c>
      <c r="W25">
        <f t="shared" si="6"/>
        <v>7.0051710800357032</v>
      </c>
      <c r="X25">
        <f t="shared" si="6"/>
        <v>3.5025855400178525</v>
      </c>
      <c r="Y25">
        <f t="shared" si="6"/>
        <v>47.366855102648024</v>
      </c>
      <c r="Z25">
        <f t="shared" si="6"/>
        <v>0</v>
      </c>
      <c r="AA25">
        <f t="shared" si="6"/>
        <v>5.3555489437667356</v>
      </c>
      <c r="AC25">
        <f>SUM(U25:AA25)</f>
        <v>81.910616879896864</v>
      </c>
    </row>
    <row r="26" spans="1:29">
      <c r="A26" s="3" t="s">
        <v>3</v>
      </c>
      <c r="B26" s="165"/>
      <c r="C26" s="165"/>
      <c r="D26" s="165">
        <f>D28*(D24-I26)</f>
        <v>52.5</v>
      </c>
      <c r="E26" s="165">
        <f>E28*(D24-I26)</f>
        <v>15</v>
      </c>
      <c r="F26" s="165">
        <f>F28*(D24-I26)</f>
        <v>7.5</v>
      </c>
      <c r="G26" s="165">
        <f>L24*4</f>
        <v>112</v>
      </c>
      <c r="H26" s="165">
        <f>M24*6</f>
        <v>30</v>
      </c>
      <c r="I26" s="172">
        <f>SUM(G26:H26)</f>
        <v>142</v>
      </c>
      <c r="J26" s="3">
        <f>SUM(D26:H26)</f>
        <v>217</v>
      </c>
      <c r="K26" s="172">
        <f>D24- J26</f>
        <v>0</v>
      </c>
      <c r="L26" s="3"/>
      <c r="M26" s="3"/>
      <c r="N26" s="3"/>
      <c r="O26" s="3"/>
      <c r="Q26" t="s">
        <v>101</v>
      </c>
      <c r="R26" s="215"/>
      <c r="S26" s="97" t="s">
        <v>109</v>
      </c>
      <c r="T26" s="128">
        <v>1</v>
      </c>
      <c r="U26">
        <f>U3*U$1</f>
        <v>0</v>
      </c>
      <c r="V26">
        <f>V3*V$1</f>
        <v>15.297599415204676</v>
      </c>
      <c r="W26">
        <f t="shared" ref="W26:AA26" si="7">W3*W$1</f>
        <v>8.7414853801169592</v>
      </c>
      <c r="X26">
        <f t="shared" si="7"/>
        <v>6.5561140350877194</v>
      </c>
      <c r="Y26">
        <f t="shared" si="7"/>
        <v>24.678362573099417</v>
      </c>
      <c r="Z26">
        <f t="shared" si="7"/>
        <v>0</v>
      </c>
      <c r="AA26">
        <f t="shared" si="7"/>
        <v>1.9298245614035086</v>
      </c>
      <c r="AC26">
        <f t="shared" ref="AC26:AC33" si="8">SUM(U26:AA26)</f>
        <v>57.203385964912279</v>
      </c>
    </row>
    <row r="27" spans="1:29">
      <c r="A27" s="3" t="s">
        <v>4</v>
      </c>
      <c r="B27" s="165">
        <f>F24</f>
        <v>50</v>
      </c>
      <c r="C27" s="165">
        <f>N24*E22/100</f>
        <v>477.7</v>
      </c>
      <c r="D27" s="165">
        <f>D28*(E24-I27)</f>
        <v>35.909999999999968</v>
      </c>
      <c r="E27" s="165">
        <f>E28*(E24-I27)</f>
        <v>10.259999999999991</v>
      </c>
      <c r="F27" s="165">
        <f>F28*(E24-I27)</f>
        <v>5.1299999999999955</v>
      </c>
      <c r="G27" s="173">
        <f>L24</f>
        <v>28</v>
      </c>
      <c r="H27" s="165">
        <f>M24</f>
        <v>5</v>
      </c>
      <c r="I27" s="171">
        <f>SUM(B27:C27,G27:H27)</f>
        <v>560.70000000000005</v>
      </c>
      <c r="J27" s="3">
        <f>SUM(B27:H27)</f>
        <v>612</v>
      </c>
      <c r="K27" s="172">
        <f>E24-J27</f>
        <v>0</v>
      </c>
      <c r="L27" s="3"/>
      <c r="M27" s="3"/>
      <c r="N27" s="3"/>
      <c r="O27" s="3"/>
      <c r="R27" s="215"/>
      <c r="S27" s="97" t="s">
        <v>108</v>
      </c>
      <c r="T27">
        <v>1</v>
      </c>
      <c r="U27">
        <f t="shared" ref="U27:AA27" si="9">U4*U$1</f>
        <v>0</v>
      </c>
      <c r="V27">
        <f t="shared" si="9"/>
        <v>12.827689794851683</v>
      </c>
      <c r="W27">
        <f t="shared" si="9"/>
        <v>7.3301084542009631</v>
      </c>
      <c r="X27">
        <f t="shared" si="9"/>
        <v>5.4975813406507221</v>
      </c>
      <c r="Y27">
        <f t="shared" si="9"/>
        <v>23.833790670325364</v>
      </c>
      <c r="Z27">
        <f t="shared" si="9"/>
        <v>0</v>
      </c>
      <c r="AA27">
        <f t="shared" si="9"/>
        <v>1.0192081536652293</v>
      </c>
      <c r="AC27">
        <f t="shared" si="8"/>
        <v>50.508378413693961</v>
      </c>
    </row>
    <row r="28" spans="1:29">
      <c r="A28" s="3"/>
      <c r="B28" s="3"/>
      <c r="C28" s="3"/>
      <c r="D28" s="167">
        <v>0.7</v>
      </c>
      <c r="E28" s="167">
        <v>0.2</v>
      </c>
      <c r="F28" s="167">
        <v>0.1</v>
      </c>
      <c r="G28" s="3"/>
      <c r="H28" s="3"/>
      <c r="I28" s="3"/>
      <c r="J28" s="3"/>
      <c r="K28" s="3"/>
      <c r="L28">
        <f>H24</f>
        <v>35.5</v>
      </c>
      <c r="M28" t="s">
        <v>264</v>
      </c>
      <c r="N28" s="3"/>
      <c r="O28" s="3"/>
      <c r="R28" s="215"/>
      <c r="S28" s="97" t="s">
        <v>107</v>
      </c>
      <c r="T28">
        <v>2</v>
      </c>
      <c r="U28">
        <f t="shared" ref="U28:AA28" si="10">U5*U$1</f>
        <v>0</v>
      </c>
      <c r="V28">
        <f t="shared" si="10"/>
        <v>14.147848430088093</v>
      </c>
      <c r="W28">
        <f t="shared" si="10"/>
        <v>7.5455191627136493</v>
      </c>
      <c r="X28">
        <f t="shared" si="10"/>
        <v>2.8295696860176185</v>
      </c>
      <c r="Y28">
        <f t="shared" si="10"/>
        <v>21.760409607710262</v>
      </c>
      <c r="Z28">
        <f t="shared" si="10"/>
        <v>0</v>
      </c>
      <c r="AA28">
        <f t="shared" si="10"/>
        <v>0.24847526541676077</v>
      </c>
      <c r="AC28">
        <f t="shared" si="8"/>
        <v>46.531822151946379</v>
      </c>
    </row>
    <row r="29" spans="1:29">
      <c r="A29" s="168" t="s">
        <v>249</v>
      </c>
      <c r="B29" s="168">
        <f>100*F24/E24</f>
        <v>8.1699346405228752</v>
      </c>
      <c r="C29" s="168">
        <f>100*C27/E24</f>
        <v>78.055555555555557</v>
      </c>
      <c r="D29" s="168">
        <f>100*D27/E24</f>
        <v>5.8676470588235246</v>
      </c>
      <c r="E29" s="168">
        <f>100*E27/E24</f>
        <v>1.6764705882352926</v>
      </c>
      <c r="F29" s="168">
        <f>100*F27/E24</f>
        <v>0.8382352941176463</v>
      </c>
      <c r="G29" s="170">
        <f>100*L24/E24</f>
        <v>4.5751633986928102</v>
      </c>
      <c r="H29" s="170">
        <f>100*M24/E24</f>
        <v>0.81699346405228757</v>
      </c>
      <c r="I29" s="168"/>
      <c r="J29" s="168">
        <f>SUM(B29:H29)</f>
        <v>99.999999999999986</v>
      </c>
      <c r="K29" s="3"/>
      <c r="L29">
        <f>SUM(D30:H30)</f>
        <v>34.937908496732014</v>
      </c>
      <c r="M29" t="s">
        <v>261</v>
      </c>
      <c r="N29" s="3"/>
      <c r="O29" s="3"/>
      <c r="R29" s="100"/>
      <c r="S29" s="97" t="s">
        <v>106</v>
      </c>
      <c r="T29">
        <v>2</v>
      </c>
      <c r="U29">
        <f t="shared" ref="U29:AA29" si="11">U6*U$1</f>
        <v>0</v>
      </c>
      <c r="V29">
        <f t="shared" si="11"/>
        <v>9.7663070539419099</v>
      </c>
      <c r="W29">
        <f t="shared" si="11"/>
        <v>5.5807468879668063</v>
      </c>
      <c r="X29">
        <f t="shared" si="11"/>
        <v>4.1855601659751045</v>
      </c>
      <c r="Y29">
        <f t="shared" si="11"/>
        <v>14.827109266943292</v>
      </c>
      <c r="Z29">
        <f t="shared" si="11"/>
        <v>0</v>
      </c>
      <c r="AA29">
        <f t="shared" si="11"/>
        <v>0.16597510373443983</v>
      </c>
      <c r="AC29">
        <f t="shared" si="8"/>
        <v>34.525698478561551</v>
      </c>
    </row>
    <row r="30" spans="1:29">
      <c r="A30" s="3"/>
      <c r="B30" s="3"/>
      <c r="C30" s="3"/>
      <c r="D30" s="165">
        <f t="shared" ref="D30:G30" si="12">D29*D25</f>
        <v>5.8676470588235246</v>
      </c>
      <c r="E30" s="165">
        <f t="shared" si="12"/>
        <v>3.3529411764705852</v>
      </c>
      <c r="F30" s="165">
        <f t="shared" si="12"/>
        <v>2.5147058823529389</v>
      </c>
      <c r="G30" s="165">
        <f t="shared" si="12"/>
        <v>18.300653594771241</v>
      </c>
      <c r="H30" s="165">
        <f>H29*H25</f>
        <v>4.9019607843137258</v>
      </c>
      <c r="I30" s="165"/>
      <c r="L30" s="165"/>
      <c r="M30" s="165"/>
      <c r="N30" s="3"/>
      <c r="O30" s="3"/>
      <c r="R30" s="215" t="s">
        <v>105</v>
      </c>
      <c r="S30" s="97" t="s">
        <v>111</v>
      </c>
      <c r="T30">
        <v>2</v>
      </c>
      <c r="U30">
        <f t="shared" ref="U30:AA30" si="13">U7*U$1</f>
        <v>0</v>
      </c>
      <c r="V30">
        <f t="shared" si="13"/>
        <v>9.1958077879038882</v>
      </c>
      <c r="W30">
        <f t="shared" si="13"/>
        <v>5.2547473073736501</v>
      </c>
      <c r="X30">
        <f t="shared" si="13"/>
        <v>3.9410604805302376</v>
      </c>
      <c r="Y30">
        <f t="shared" si="13"/>
        <v>17.895608947804472</v>
      </c>
      <c r="Z30">
        <f t="shared" si="13"/>
        <v>0</v>
      </c>
      <c r="AA30">
        <f t="shared" si="13"/>
        <v>2.2369511184755595</v>
      </c>
      <c r="AC30">
        <f t="shared" si="8"/>
        <v>38.524175642087812</v>
      </c>
    </row>
    <row r="31" spans="1:29" ht="15" thickBot="1">
      <c r="A31" s="176"/>
      <c r="B31" s="176" t="s">
        <v>254</v>
      </c>
      <c r="C31" s="176"/>
      <c r="D31" s="177"/>
      <c r="E31" s="178">
        <f>E33-F33</f>
        <v>3552</v>
      </c>
      <c r="F31" s="176"/>
      <c r="G31" s="176"/>
      <c r="H31" s="176"/>
      <c r="I31" s="176"/>
      <c r="J31" s="179"/>
      <c r="K31" s="179"/>
      <c r="L31" s="179">
        <f>SUM(D39:H39)</f>
        <v>34.525698478561551</v>
      </c>
      <c r="M31" s="179" t="s">
        <v>261</v>
      </c>
      <c r="N31" s="179"/>
      <c r="O31" s="179"/>
      <c r="P31" t="s">
        <v>255</v>
      </c>
      <c r="Q31" t="s">
        <v>211</v>
      </c>
      <c r="R31" s="215"/>
      <c r="S31" s="97" t="s">
        <v>112</v>
      </c>
      <c r="T31">
        <v>4</v>
      </c>
      <c r="U31">
        <f t="shared" ref="U31:AA31" si="14">U8*U$1</f>
        <v>0</v>
      </c>
      <c r="V31">
        <f t="shared" si="14"/>
        <v>6.4599447513812134</v>
      </c>
      <c r="W31">
        <f t="shared" si="14"/>
        <v>7.7519337016574559</v>
      </c>
      <c r="X31">
        <f t="shared" si="14"/>
        <v>7.7519337016574568</v>
      </c>
      <c r="Y31">
        <f t="shared" si="14"/>
        <v>24.861878453038674</v>
      </c>
      <c r="Z31">
        <f t="shared" si="14"/>
        <v>0</v>
      </c>
      <c r="AA31">
        <f t="shared" si="14"/>
        <v>2.4861878453038675</v>
      </c>
      <c r="AC31">
        <f t="shared" si="8"/>
        <v>49.311878453038666</v>
      </c>
    </row>
    <row r="32" spans="1:29" s="96" customFormat="1" ht="15" thickBot="1">
      <c r="B32" s="138" t="s">
        <v>202</v>
      </c>
      <c r="C32" s="138" t="s">
        <v>203</v>
      </c>
      <c r="D32" s="138" t="s">
        <v>127</v>
      </c>
      <c r="E32" s="138" t="s">
        <v>217</v>
      </c>
      <c r="F32" s="138" t="s">
        <v>246</v>
      </c>
      <c r="G32" s="138" t="s">
        <v>129</v>
      </c>
      <c r="H32" s="138" t="s">
        <v>131</v>
      </c>
      <c r="I32" s="138" t="s">
        <v>128</v>
      </c>
      <c r="J32" s="138">
        <v>50</v>
      </c>
      <c r="K32" s="138">
        <v>100</v>
      </c>
      <c r="L32" s="138" t="s">
        <v>5</v>
      </c>
      <c r="M32" s="138" t="s">
        <v>6</v>
      </c>
      <c r="N32" s="138" t="s">
        <v>247</v>
      </c>
      <c r="Q32" t="s">
        <v>122</v>
      </c>
      <c r="R32" s="215"/>
      <c r="S32" s="97" t="s">
        <v>113</v>
      </c>
      <c r="T32">
        <v>8</v>
      </c>
      <c r="U32">
        <f t="shared" ref="U32:AA32" si="15">U9*U$1</f>
        <v>0</v>
      </c>
      <c r="V32">
        <f t="shared" si="15"/>
        <v>5.8676470588235246</v>
      </c>
      <c r="W32">
        <f t="shared" si="15"/>
        <v>3.3529411764705852</v>
      </c>
      <c r="X32">
        <f t="shared" si="15"/>
        <v>2.5147058823529389</v>
      </c>
      <c r="Y32">
        <f t="shared" si="15"/>
        <v>18.300653594771241</v>
      </c>
      <c r="Z32">
        <f t="shared" si="15"/>
        <v>0</v>
      </c>
      <c r="AA32">
        <f t="shared" si="15"/>
        <v>4.9019607843137258</v>
      </c>
      <c r="AB32"/>
      <c r="AC32">
        <f t="shared" si="8"/>
        <v>34.937908496732014</v>
      </c>
    </row>
    <row r="33" spans="1:30" s="96" customFormat="1" ht="15" thickBot="1">
      <c r="B33" s="139" t="s">
        <v>87</v>
      </c>
      <c r="C33" s="139">
        <v>70</v>
      </c>
      <c r="D33" s="140">
        <v>1253</v>
      </c>
      <c r="E33" s="140">
        <v>3615</v>
      </c>
      <c r="F33" s="139">
        <v>63</v>
      </c>
      <c r="G33" s="139">
        <v>19.899999999999999</v>
      </c>
      <c r="H33" s="139">
        <v>34.700000000000003</v>
      </c>
      <c r="I33" s="139">
        <v>104</v>
      </c>
      <c r="J33" s="139">
        <v>3</v>
      </c>
      <c r="K33" s="139">
        <v>1</v>
      </c>
      <c r="L33" s="139">
        <v>134</v>
      </c>
      <c r="M33" s="139">
        <v>1</v>
      </c>
      <c r="N33" s="139">
        <v>82</v>
      </c>
      <c r="Q33" t="s">
        <v>233</v>
      </c>
      <c r="R33" s="215"/>
      <c r="S33" s="97" t="s">
        <v>114</v>
      </c>
      <c r="T33">
        <v>8</v>
      </c>
      <c r="U33">
        <f t="shared" ref="U33:AA33" si="16">U10*U$1</f>
        <v>0</v>
      </c>
      <c r="V33">
        <f t="shared" si="16"/>
        <v>3.27942754919499</v>
      </c>
      <c r="W33">
        <f t="shared" si="16"/>
        <v>3.9353130590339878</v>
      </c>
      <c r="X33">
        <f t="shared" si="16"/>
        <v>3.9353130590339878</v>
      </c>
      <c r="Y33">
        <f t="shared" si="16"/>
        <v>9.3023255813953494</v>
      </c>
      <c r="Z33">
        <f t="shared" si="16"/>
        <v>0</v>
      </c>
      <c r="AA33">
        <f t="shared" si="16"/>
        <v>0</v>
      </c>
      <c r="AB33"/>
      <c r="AC33">
        <f t="shared" si="8"/>
        <v>20.452379248658314</v>
      </c>
    </row>
    <row r="34" spans="1:30">
      <c r="A34" s="3"/>
      <c r="B34" s="163" t="s">
        <v>35</v>
      </c>
      <c r="C34" s="163">
        <v>0</v>
      </c>
      <c r="D34" s="164">
        <v>1</v>
      </c>
      <c r="E34" s="164">
        <v>2</v>
      </c>
      <c r="F34" s="164">
        <v>3</v>
      </c>
      <c r="G34" s="163">
        <v>4</v>
      </c>
      <c r="H34" s="163">
        <v>6</v>
      </c>
      <c r="I34" s="163" t="s">
        <v>251</v>
      </c>
      <c r="J34" s="163" t="s">
        <v>87</v>
      </c>
      <c r="K34" s="163" t="s">
        <v>250</v>
      </c>
      <c r="L34" s="3"/>
      <c r="M34" s="3"/>
      <c r="N34" s="3"/>
      <c r="O34" s="3"/>
    </row>
    <row r="35" spans="1:30">
      <c r="A35" s="3" t="s">
        <v>3</v>
      </c>
      <c r="B35" s="165"/>
      <c r="C35" s="165"/>
      <c r="D35" s="165">
        <f>D37*(D33-I35)</f>
        <v>497.7</v>
      </c>
      <c r="E35" s="165">
        <f>E37*(D33-I35)</f>
        <v>142.20000000000002</v>
      </c>
      <c r="F35" s="165">
        <f>F37*(D33-I35)</f>
        <v>71.100000000000009</v>
      </c>
      <c r="G35" s="165">
        <f>L33*4</f>
        <v>536</v>
      </c>
      <c r="H35" s="165">
        <f>M33*6</f>
        <v>6</v>
      </c>
      <c r="I35" s="172">
        <f>SUM(G35:H35)</f>
        <v>542</v>
      </c>
      <c r="J35" s="3">
        <f>SUM(D35:H35)</f>
        <v>1253</v>
      </c>
      <c r="K35" s="172">
        <f>D33- J35</f>
        <v>0</v>
      </c>
      <c r="L35" s="3"/>
      <c r="M35" s="3"/>
      <c r="N35" s="3"/>
      <c r="O35" s="3"/>
      <c r="S35" s="97" t="s">
        <v>135</v>
      </c>
      <c r="T35">
        <v>0</v>
      </c>
      <c r="U35">
        <v>1</v>
      </c>
      <c r="V35">
        <v>2</v>
      </c>
      <c r="W35">
        <v>3</v>
      </c>
      <c r="X35">
        <v>4</v>
      </c>
      <c r="Y35">
        <v>5</v>
      </c>
      <c r="Z35">
        <v>6</v>
      </c>
      <c r="AB35" t="s">
        <v>196</v>
      </c>
      <c r="AC35" t="s">
        <v>265</v>
      </c>
    </row>
    <row r="36" spans="1:30">
      <c r="A36" s="3" t="s">
        <v>4</v>
      </c>
      <c r="B36" s="165">
        <f>F33</f>
        <v>63</v>
      </c>
      <c r="C36" s="165">
        <f>N33*E31/100</f>
        <v>2912.64</v>
      </c>
      <c r="D36" s="165">
        <f>D37*(E33-I36)</f>
        <v>353.05200000000008</v>
      </c>
      <c r="E36" s="165">
        <f>E37*(E33-I36)</f>
        <v>100.87200000000003</v>
      </c>
      <c r="F36" s="165">
        <f>F37*(E33-I36)</f>
        <v>50.436000000000014</v>
      </c>
      <c r="G36" s="173">
        <f>L33</f>
        <v>134</v>
      </c>
      <c r="H36" s="165">
        <f>M33</f>
        <v>1</v>
      </c>
      <c r="I36" s="171">
        <f>SUM(B36:C36,G36:H36)</f>
        <v>3110.64</v>
      </c>
      <c r="J36" s="3">
        <f>SUM(B36:H36)</f>
        <v>3615</v>
      </c>
      <c r="K36" s="172">
        <f>E33-J36</f>
        <v>0</v>
      </c>
      <c r="L36" s="3"/>
      <c r="M36" s="3"/>
      <c r="N36" s="3"/>
      <c r="O36" s="3"/>
      <c r="P36" s="174">
        <v>4</v>
      </c>
      <c r="R36" s="134" t="str">
        <f>B12</f>
        <v>Sehwag</v>
      </c>
      <c r="S36">
        <f t="shared" ref="S36:X36" si="17">B19</f>
        <v>1.6760884657344044</v>
      </c>
      <c r="T36">
        <f t="shared" si="17"/>
        <v>62.239036001190115</v>
      </c>
      <c r="U36">
        <f t="shared" si="17"/>
        <v>18.680456213428545</v>
      </c>
      <c r="V36">
        <f t="shared" si="17"/>
        <v>3.5025855400178516</v>
      </c>
      <c r="W36">
        <f t="shared" si="17"/>
        <v>1.1675285133392841</v>
      </c>
      <c r="X36">
        <f t="shared" si="17"/>
        <v>11.841713775662006</v>
      </c>
      <c r="Z36">
        <f>H19</f>
        <v>0.89259149062778931</v>
      </c>
      <c r="AA36">
        <f>J19</f>
        <v>99.999999999999986</v>
      </c>
      <c r="AB36">
        <f>G14</f>
        <v>49.4</v>
      </c>
      <c r="AC36">
        <f>L12</f>
        <v>81.910616879896864</v>
      </c>
      <c r="AD36">
        <f>K30</f>
        <v>0</v>
      </c>
    </row>
    <row r="37" spans="1:30">
      <c r="A37" s="3"/>
      <c r="B37" s="3"/>
      <c r="C37" s="3"/>
      <c r="D37" s="167">
        <v>0.7</v>
      </c>
      <c r="E37" s="167">
        <v>0.2</v>
      </c>
      <c r="F37" s="167">
        <v>0.1</v>
      </c>
      <c r="G37" s="3"/>
      <c r="H37" s="3"/>
      <c r="I37" s="3"/>
      <c r="J37" s="3"/>
      <c r="K37" s="3"/>
      <c r="L37">
        <f>H33</f>
        <v>34.700000000000003</v>
      </c>
      <c r="M37" t="s">
        <v>264</v>
      </c>
      <c r="N37" s="3"/>
      <c r="O37" s="3"/>
      <c r="P37" s="174">
        <v>3</v>
      </c>
      <c r="R37" s="134" t="str">
        <f>B49</f>
        <v>Steve Smith</v>
      </c>
      <c r="S37">
        <f t="shared" ref="S37:X37" si="18">B56</f>
        <v>0.89181286549707606</v>
      </c>
      <c r="T37">
        <f t="shared" si="18"/>
        <v>70.7632456140351</v>
      </c>
      <c r="U37">
        <f t="shared" si="18"/>
        <v>15.297599415204676</v>
      </c>
      <c r="V37">
        <f t="shared" si="18"/>
        <v>4.3707426900584796</v>
      </c>
      <c r="W37">
        <f t="shared" si="18"/>
        <v>2.1853713450292398</v>
      </c>
      <c r="X37">
        <f t="shared" si="18"/>
        <v>6.1695906432748542</v>
      </c>
      <c r="Z37">
        <f>H56</f>
        <v>0.32163742690058478</v>
      </c>
      <c r="AA37">
        <f>J56</f>
        <v>100</v>
      </c>
      <c r="AB37">
        <f>G51</f>
        <v>61.8</v>
      </c>
      <c r="AC37">
        <f>L40</f>
        <v>65.198581726086104</v>
      </c>
      <c r="AD37" s="165">
        <f>K20</f>
        <v>0</v>
      </c>
    </row>
    <row r="38" spans="1:30">
      <c r="A38" s="168" t="s">
        <v>249</v>
      </c>
      <c r="B38" s="168">
        <f>100*F33/E33</f>
        <v>1.7427385892116183</v>
      </c>
      <c r="C38" s="168">
        <f>100*C36/E33</f>
        <v>80.570954356846471</v>
      </c>
      <c r="D38" s="168">
        <f>100*D36/E33</f>
        <v>9.7663070539419099</v>
      </c>
      <c r="E38" s="168">
        <f>100*E36/E33</f>
        <v>2.7903734439834031</v>
      </c>
      <c r="F38" s="168">
        <f>100*F36/E33</f>
        <v>1.3951867219917016</v>
      </c>
      <c r="G38" s="170">
        <f>100*L33/E33</f>
        <v>3.7067773167358231</v>
      </c>
      <c r="H38" s="170">
        <f>100*M33/E33</f>
        <v>2.7662517289073305E-2</v>
      </c>
      <c r="I38" s="168"/>
      <c r="J38" s="168">
        <f>SUM(B38:H38)</f>
        <v>100</v>
      </c>
      <c r="K38" s="3"/>
      <c r="L38">
        <f>SUM(D39:H39)</f>
        <v>34.525698478561551</v>
      </c>
      <c r="M38" t="s">
        <v>261</v>
      </c>
      <c r="N38" s="3"/>
      <c r="O38" s="3"/>
      <c r="P38" s="174">
        <v>2</v>
      </c>
      <c r="R38" s="134" t="str">
        <f>B67</f>
        <v>Marc Boucher</v>
      </c>
      <c r="S38">
        <f t="shared" ref="S38:X38" si="19">B74</f>
        <v>1.6464131713053705</v>
      </c>
      <c r="T38">
        <f t="shared" si="19"/>
        <v>73.900000000000006</v>
      </c>
      <c r="U38">
        <f t="shared" si="19"/>
        <v>12.827689794851683</v>
      </c>
      <c r="V38">
        <f t="shared" si="19"/>
        <v>3.6650542271004816</v>
      </c>
      <c r="W38">
        <f t="shared" si="19"/>
        <v>1.8325271135502408</v>
      </c>
      <c r="X38">
        <f t="shared" si="19"/>
        <v>5.9584476675813409</v>
      </c>
      <c r="Z38">
        <f>H74</f>
        <v>0.16986802561087155</v>
      </c>
      <c r="AA38">
        <f>J74</f>
        <v>99.999999999999986</v>
      </c>
      <c r="AB38">
        <f>G69</f>
        <v>30.5</v>
      </c>
      <c r="AC38">
        <f>L67</f>
        <v>50.508378413693961</v>
      </c>
    </row>
    <row r="39" spans="1:30">
      <c r="A39" s="3"/>
      <c r="B39" s="3"/>
      <c r="C39" s="3"/>
      <c r="D39" s="165">
        <f t="shared" ref="D39:G39" si="20">D38*D34</f>
        <v>9.7663070539419099</v>
      </c>
      <c r="E39" s="165">
        <f t="shared" si="20"/>
        <v>5.5807468879668063</v>
      </c>
      <c r="F39" s="165">
        <f t="shared" si="20"/>
        <v>4.1855601659751045</v>
      </c>
      <c r="G39" s="165">
        <f t="shared" si="20"/>
        <v>14.827109266943292</v>
      </c>
      <c r="H39" s="165">
        <f>H38*H34</f>
        <v>0.16597510373443983</v>
      </c>
      <c r="I39" s="165"/>
      <c r="L39" s="165"/>
      <c r="M39" s="165"/>
      <c r="N39" s="3"/>
      <c r="O39" s="3"/>
      <c r="P39" s="174">
        <v>1</v>
      </c>
      <c r="R39" s="134" t="str">
        <f>B58</f>
        <v>Cook</v>
      </c>
      <c r="S39">
        <f t="shared" ref="S39:X39" si="21">B65</f>
        <v>1.03531360590317</v>
      </c>
      <c r="T39">
        <f t="shared" si="21"/>
        <v>74.619373541149017</v>
      </c>
      <c r="U39">
        <f t="shared" si="21"/>
        <v>14.147848430088093</v>
      </c>
      <c r="V39">
        <f t="shared" si="21"/>
        <v>3.7727595813568247</v>
      </c>
      <c r="W39">
        <f t="shared" si="21"/>
        <v>0.94318989533920616</v>
      </c>
      <c r="X39">
        <f t="shared" si="21"/>
        <v>5.4401024019275654</v>
      </c>
      <c r="Z39">
        <f>H65</f>
        <v>4.1412544236126794E-2</v>
      </c>
      <c r="AA39">
        <f>J65</f>
        <v>99.999999999999986</v>
      </c>
      <c r="AB39">
        <f>G60</f>
        <v>45.4</v>
      </c>
      <c r="AC39">
        <f>L58</f>
        <v>46.531822151946379</v>
      </c>
    </row>
    <row r="40" spans="1:30" ht="15" thickBot="1">
      <c r="A40" s="176"/>
      <c r="B40" s="176" t="s">
        <v>225</v>
      </c>
      <c r="C40" s="176"/>
      <c r="D40" s="177"/>
      <c r="E40" s="178">
        <f>E42-F42</f>
        <v>4956</v>
      </c>
      <c r="F40" s="176"/>
      <c r="G40" s="176"/>
      <c r="H40" s="176"/>
      <c r="I40" s="176"/>
      <c r="J40" s="179"/>
      <c r="K40" s="179"/>
      <c r="L40" s="179">
        <f>SUM(D48:H48)</f>
        <v>65.198581726086104</v>
      </c>
      <c r="M40" s="179" t="s">
        <v>261</v>
      </c>
      <c r="N40" s="179"/>
      <c r="O40" s="179"/>
      <c r="P40" s="174">
        <v>0</v>
      </c>
      <c r="R40" s="134" t="str">
        <f>B31</f>
        <v>Khaled Mashud</v>
      </c>
      <c r="S40">
        <f t="shared" ref="S40:X40" si="22">B38</f>
        <v>1.7427385892116183</v>
      </c>
      <c r="T40">
        <f t="shared" si="22"/>
        <v>80.570954356846471</v>
      </c>
      <c r="U40">
        <f t="shared" si="22"/>
        <v>9.7663070539419099</v>
      </c>
      <c r="V40">
        <f t="shared" si="22"/>
        <v>2.7903734439834031</v>
      </c>
      <c r="W40">
        <f t="shared" si="22"/>
        <v>1.3951867219917016</v>
      </c>
      <c r="X40">
        <f t="shared" si="22"/>
        <v>3.7067773167358231</v>
      </c>
      <c r="Z40">
        <f>H38</f>
        <v>2.7662517289073305E-2</v>
      </c>
      <c r="AA40">
        <f>J38</f>
        <v>100</v>
      </c>
      <c r="AB40">
        <f>G33</f>
        <v>19.899999999999999</v>
      </c>
      <c r="AC40">
        <f>L31</f>
        <v>34.525698478561551</v>
      </c>
    </row>
    <row r="41" spans="1:30" ht="15" thickBot="1">
      <c r="B41" s="143" t="s">
        <v>202</v>
      </c>
      <c r="C41" s="143" t="s">
        <v>203</v>
      </c>
      <c r="D41" s="143" t="s">
        <v>127</v>
      </c>
      <c r="E41" s="143" t="s">
        <v>217</v>
      </c>
      <c r="F41" s="143" t="s">
        <v>246</v>
      </c>
      <c r="G41" s="143" t="s">
        <v>129</v>
      </c>
      <c r="H41" s="143" t="s">
        <v>131</v>
      </c>
      <c r="I41" s="143" t="s">
        <v>128</v>
      </c>
      <c r="J41" s="143">
        <v>50</v>
      </c>
      <c r="K41" s="143">
        <v>100</v>
      </c>
      <c r="L41" s="143" t="s">
        <v>5</v>
      </c>
      <c r="M41" s="143" t="s">
        <v>6</v>
      </c>
      <c r="N41" s="143" t="s">
        <v>247</v>
      </c>
      <c r="P41" s="174">
        <v>-1</v>
      </c>
      <c r="R41" s="134" t="str">
        <f>B76</f>
        <v>Kemar Roach</v>
      </c>
      <c r="S41">
        <f t="shared" ref="S41:X41" si="23">B83</f>
        <v>3.3140016570008286</v>
      </c>
      <c r="T41">
        <f t="shared" si="23"/>
        <v>78.702402651201325</v>
      </c>
      <c r="U41">
        <f t="shared" si="23"/>
        <v>9.1958077879038882</v>
      </c>
      <c r="V41">
        <f t="shared" si="23"/>
        <v>2.6273736536868251</v>
      </c>
      <c r="W41">
        <f t="shared" si="23"/>
        <v>1.3136868268434125</v>
      </c>
      <c r="X41">
        <f t="shared" si="23"/>
        <v>4.4739022369511181</v>
      </c>
      <c r="Z41">
        <f>H83</f>
        <v>0.37282518641259321</v>
      </c>
      <c r="AA41">
        <f>J83</f>
        <v>100</v>
      </c>
      <c r="AB41">
        <f>G78</f>
        <v>11.5</v>
      </c>
      <c r="AC41">
        <f>L76</f>
        <v>38.524175642087812</v>
      </c>
    </row>
    <row r="42" spans="1:30" ht="15" thickBot="1">
      <c r="B42" s="144" t="s">
        <v>87</v>
      </c>
      <c r="C42" s="144">
        <v>212</v>
      </c>
      <c r="D42" s="145">
        <v>3355</v>
      </c>
      <c r="E42" s="145">
        <v>5133</v>
      </c>
      <c r="F42" s="144">
        <v>177</v>
      </c>
      <c r="G42" s="144">
        <v>19</v>
      </c>
      <c r="H42" s="144">
        <v>65.400000000000006</v>
      </c>
      <c r="I42" s="144">
        <v>169</v>
      </c>
      <c r="J42" s="144">
        <v>13</v>
      </c>
      <c r="K42" s="144">
        <v>1</v>
      </c>
      <c r="L42" s="144">
        <v>407</v>
      </c>
      <c r="M42" s="144">
        <v>48</v>
      </c>
      <c r="N42" s="144">
        <v>70.2</v>
      </c>
      <c r="P42" s="175">
        <v>-2</v>
      </c>
      <c r="R42" s="134" t="str">
        <f>B94</f>
        <v>Danesh Kaneria</v>
      </c>
      <c r="S42">
        <f t="shared" ref="S42:AA42" si="24">B101</f>
        <v>6.9060773480662982</v>
      </c>
      <c r="T42">
        <f t="shared" si="24"/>
        <v>73.54419889502762</v>
      </c>
      <c r="U42">
        <f t="shared" si="24"/>
        <v>6.4599447513812134</v>
      </c>
      <c r="V42">
        <f t="shared" si="24"/>
        <v>3.8759668508287279</v>
      </c>
      <c r="W42">
        <f t="shared" si="24"/>
        <v>2.5839779005524854</v>
      </c>
      <c r="X42">
        <f t="shared" si="24"/>
        <v>6.2154696132596685</v>
      </c>
      <c r="Y42">
        <f t="shared" si="24"/>
        <v>0.4143646408839779</v>
      </c>
      <c r="Z42">
        <f t="shared" si="24"/>
        <v>0</v>
      </c>
      <c r="AA42">
        <f t="shared" si="24"/>
        <v>100</v>
      </c>
      <c r="AB42">
        <f>G96</f>
        <v>7</v>
      </c>
      <c r="AC42">
        <f>L94</f>
        <v>49.311878453038666</v>
      </c>
    </row>
    <row r="43" spans="1:30">
      <c r="A43" s="3"/>
      <c r="B43" s="163" t="s">
        <v>35</v>
      </c>
      <c r="C43" s="163">
        <v>0</v>
      </c>
      <c r="D43" s="164">
        <v>1</v>
      </c>
      <c r="E43" s="164">
        <v>2</v>
      </c>
      <c r="F43" s="164">
        <v>3</v>
      </c>
      <c r="G43" s="163">
        <v>4</v>
      </c>
      <c r="H43" s="163">
        <v>6</v>
      </c>
      <c r="I43" s="163" t="s">
        <v>251</v>
      </c>
      <c r="J43" s="163" t="s">
        <v>87</v>
      </c>
      <c r="K43" s="163" t="s">
        <v>250</v>
      </c>
      <c r="L43" s="3"/>
      <c r="M43" s="3"/>
      <c r="N43" s="3"/>
      <c r="O43" s="3"/>
      <c r="P43" s="174">
        <v>-3</v>
      </c>
      <c r="R43" s="134" t="str">
        <f>B22</f>
        <v>Shannon Gabriel</v>
      </c>
      <c r="S43">
        <f t="shared" ref="S43:X43" si="25">B29</f>
        <v>8.1699346405228752</v>
      </c>
      <c r="T43">
        <f t="shared" si="25"/>
        <v>78.055555555555557</v>
      </c>
      <c r="U43">
        <f t="shared" si="25"/>
        <v>5.8676470588235246</v>
      </c>
      <c r="V43">
        <f t="shared" si="25"/>
        <v>1.6764705882352926</v>
      </c>
      <c r="W43">
        <f t="shared" si="25"/>
        <v>0.8382352941176463</v>
      </c>
      <c r="X43">
        <f t="shared" si="25"/>
        <v>4.5751633986928102</v>
      </c>
      <c r="Z43">
        <f>H29</f>
        <v>0.81699346405228757</v>
      </c>
      <c r="AA43">
        <f>J29</f>
        <v>99.999999999999986</v>
      </c>
      <c r="AB43">
        <f>G24</f>
        <v>4.3</v>
      </c>
      <c r="AC43">
        <f>L22</f>
        <v>34.937908496732014</v>
      </c>
    </row>
    <row r="44" spans="1:30">
      <c r="A44" s="3" t="s">
        <v>3</v>
      </c>
      <c r="B44" s="165"/>
      <c r="C44" s="165"/>
      <c r="D44" s="165">
        <f>D46*(D42-I44)</f>
        <v>1007.3</v>
      </c>
      <c r="E44" s="165">
        <f>E46*(D42-I44)</f>
        <v>287.8</v>
      </c>
      <c r="F44" s="165">
        <f>F46*(D42-I44)</f>
        <v>143.9</v>
      </c>
      <c r="G44" s="165">
        <f>L42*4</f>
        <v>1628</v>
      </c>
      <c r="H44" s="165">
        <f>M42*6</f>
        <v>288</v>
      </c>
      <c r="I44" s="172">
        <f>SUM(G44:H44)</f>
        <v>1916</v>
      </c>
      <c r="J44" s="3">
        <f>SUM(D44:H44)</f>
        <v>3355</v>
      </c>
      <c r="K44" s="172">
        <f>D42- J44</f>
        <v>0</v>
      </c>
      <c r="L44" s="3"/>
      <c r="M44" s="3"/>
      <c r="N44" s="3"/>
      <c r="O44" s="3"/>
      <c r="P44" s="174">
        <v>-4</v>
      </c>
      <c r="R44" s="134" t="str">
        <f>B85</f>
        <v>Chris Martin</v>
      </c>
      <c r="S44">
        <f t="shared" ref="S44:X44" si="26">B92</f>
        <v>8.4078711985688734</v>
      </c>
      <c r="T44">
        <f t="shared" si="26"/>
        <v>82.707692307692298</v>
      </c>
      <c r="U44">
        <f t="shared" si="26"/>
        <v>3.27942754919499</v>
      </c>
      <c r="V44">
        <f t="shared" si="26"/>
        <v>1.9676565295169939</v>
      </c>
      <c r="W44">
        <f t="shared" si="26"/>
        <v>1.3117710196779959</v>
      </c>
      <c r="X44">
        <f t="shared" si="26"/>
        <v>2.3255813953488373</v>
      </c>
      <c r="Z44">
        <f>H92</f>
        <v>0</v>
      </c>
      <c r="AA44">
        <f>J92</f>
        <v>99.999999999999986</v>
      </c>
      <c r="AB44">
        <f>G87</f>
        <v>2.4</v>
      </c>
      <c r="AC44">
        <f>L85</f>
        <v>20.452379248658314</v>
      </c>
    </row>
    <row r="45" spans="1:30">
      <c r="A45" s="3" t="s">
        <v>4</v>
      </c>
      <c r="B45" s="165">
        <f>F42</f>
        <v>177</v>
      </c>
      <c r="C45" s="165">
        <f>N42*E40/100</f>
        <v>3479.1120000000001</v>
      </c>
      <c r="D45" s="165">
        <f>D46*(E42-I45)</f>
        <v>715.32159999999988</v>
      </c>
      <c r="E45" s="165">
        <f>E46*(E42-I45)</f>
        <v>204.3776</v>
      </c>
      <c r="F45" s="165">
        <f>F46*(E42-I45)</f>
        <v>102.1888</v>
      </c>
      <c r="G45" s="173">
        <f>L42</f>
        <v>407</v>
      </c>
      <c r="H45" s="165">
        <f>M42</f>
        <v>48</v>
      </c>
      <c r="I45" s="171">
        <f>SUM(B45:C45,G45:H45)</f>
        <v>4111.1120000000001</v>
      </c>
      <c r="J45" s="3">
        <f>SUM(B45:H45)</f>
        <v>5133</v>
      </c>
      <c r="K45" s="172">
        <f>E42-J45</f>
        <v>0</v>
      </c>
      <c r="L45" s="3"/>
      <c r="M45" s="3"/>
      <c r="N45" s="3"/>
      <c r="O45" s="3"/>
    </row>
    <row r="46" spans="1:30">
      <c r="A46" s="3"/>
      <c r="B46" s="3"/>
      <c r="C46" s="3"/>
      <c r="D46" s="167">
        <v>0.7</v>
      </c>
      <c r="E46" s="167">
        <v>0.2</v>
      </c>
      <c r="F46" s="167">
        <v>0.1</v>
      </c>
      <c r="G46" s="3"/>
      <c r="H46" s="3"/>
      <c r="I46" s="3"/>
      <c r="J46" s="3"/>
      <c r="K46" s="3"/>
      <c r="L46">
        <f>H42</f>
        <v>65.400000000000006</v>
      </c>
      <c r="M46" t="s">
        <v>264</v>
      </c>
      <c r="N46" s="3"/>
      <c r="O46" s="3"/>
    </row>
    <row r="47" spans="1:30">
      <c r="A47" s="168" t="s">
        <v>249</v>
      </c>
      <c r="B47" s="168">
        <f>100*F42/E42</f>
        <v>3.4482758620689653</v>
      </c>
      <c r="C47" s="168">
        <f>100*C45/E42</f>
        <v>67.779310344827593</v>
      </c>
      <c r="D47" s="168">
        <f>100*D45/E42</f>
        <v>13.93574128190142</v>
      </c>
      <c r="E47" s="168">
        <f>100*E45/E42</f>
        <v>3.9816403662575488</v>
      </c>
      <c r="F47" s="168">
        <f>100*F45/E42</f>
        <v>1.9908201831287744</v>
      </c>
      <c r="G47" s="170">
        <f>100*L42/E42</f>
        <v>7.929086304305474</v>
      </c>
      <c r="H47" s="170">
        <f>100*M42/E42</f>
        <v>0.93512565751022791</v>
      </c>
      <c r="I47" s="168"/>
      <c r="J47" s="168">
        <f>SUM(B47:H47)</f>
        <v>100</v>
      </c>
      <c r="K47" s="3"/>
      <c r="L47">
        <f>SUM(D48:H48)</f>
        <v>65.198581726086104</v>
      </c>
      <c r="M47" t="s">
        <v>261</v>
      </c>
      <c r="N47" s="3"/>
      <c r="O47" s="3"/>
    </row>
    <row r="48" spans="1:30">
      <c r="A48" s="3"/>
      <c r="B48" s="3"/>
      <c r="C48" s="3"/>
      <c r="D48" s="165">
        <f t="shared" ref="D48:G48" si="27">D47*D43</f>
        <v>13.93574128190142</v>
      </c>
      <c r="E48" s="165">
        <f t="shared" si="27"/>
        <v>7.9632807325150976</v>
      </c>
      <c r="F48" s="165">
        <f t="shared" si="27"/>
        <v>5.972460549386323</v>
      </c>
      <c r="G48" s="165">
        <f t="shared" si="27"/>
        <v>31.716345217221896</v>
      </c>
      <c r="H48" s="165">
        <f>H47*H43</f>
        <v>5.6107539450613677</v>
      </c>
      <c r="I48" s="165"/>
      <c r="L48" s="165"/>
      <c r="M48" s="165"/>
      <c r="N48" s="3"/>
      <c r="O48" s="3"/>
    </row>
    <row r="49" spans="1:29" ht="15" thickBot="1">
      <c r="A49" s="176"/>
      <c r="B49" s="176" t="s">
        <v>257</v>
      </c>
      <c r="C49" s="176"/>
      <c r="D49" s="177"/>
      <c r="E49" s="178">
        <f>E51-F51</f>
        <v>13558</v>
      </c>
      <c r="F49" s="176"/>
      <c r="G49" s="176"/>
      <c r="H49" s="176"/>
      <c r="I49" s="176"/>
      <c r="J49" s="179"/>
      <c r="K49" s="179"/>
      <c r="L49" s="179">
        <f>SUM(D57:H57)</f>
        <v>57.203385964912279</v>
      </c>
      <c r="M49" s="179" t="s">
        <v>261</v>
      </c>
      <c r="N49" s="179"/>
      <c r="O49" s="179"/>
      <c r="R49" s="134" t="str">
        <f>B40</f>
        <v>Stuart Broad</v>
      </c>
      <c r="S49">
        <f t="shared" ref="S49:X49" si="28">B47</f>
        <v>3.4482758620689653</v>
      </c>
      <c r="T49">
        <f t="shared" si="28"/>
        <v>67.779310344827593</v>
      </c>
      <c r="U49">
        <f t="shared" si="28"/>
        <v>13.93574128190142</v>
      </c>
      <c r="V49">
        <f t="shared" si="28"/>
        <v>3.9816403662575488</v>
      </c>
      <c r="W49">
        <f t="shared" si="28"/>
        <v>1.9908201831287744</v>
      </c>
      <c r="X49">
        <f t="shared" si="28"/>
        <v>7.929086304305474</v>
      </c>
      <c r="Z49">
        <f>H47</f>
        <v>0.93512565751022791</v>
      </c>
      <c r="AA49">
        <f>J47</f>
        <v>100</v>
      </c>
      <c r="AB49">
        <f>G42</f>
        <v>19</v>
      </c>
      <c r="AC49">
        <f>L40</f>
        <v>65.198581726086104</v>
      </c>
    </row>
    <row r="50" spans="1:29" ht="15" thickBot="1">
      <c r="B50" s="138" t="s">
        <v>202</v>
      </c>
      <c r="C50" s="138" t="s">
        <v>203</v>
      </c>
      <c r="D50" s="138" t="s">
        <v>127</v>
      </c>
      <c r="E50" s="138" t="s">
        <v>217</v>
      </c>
      <c r="F50" s="138" t="s">
        <v>246</v>
      </c>
      <c r="G50" s="138" t="s">
        <v>129</v>
      </c>
      <c r="H50" s="138" t="s">
        <v>131</v>
      </c>
      <c r="I50" s="138" t="s">
        <v>128</v>
      </c>
      <c r="J50" s="138">
        <v>50</v>
      </c>
      <c r="K50" s="138">
        <v>100</v>
      </c>
      <c r="L50" s="138" t="s">
        <v>5</v>
      </c>
      <c r="M50" s="138" t="s">
        <v>6</v>
      </c>
      <c r="N50" s="138" t="s">
        <v>247</v>
      </c>
      <c r="R50" s="134"/>
    </row>
    <row r="51" spans="1:29" ht="15" thickBot="1">
      <c r="B51" s="139" t="s">
        <v>87</v>
      </c>
      <c r="C51" s="139">
        <v>139</v>
      </c>
      <c r="D51" s="140">
        <v>7540</v>
      </c>
      <c r="E51" s="140">
        <v>13680</v>
      </c>
      <c r="F51" s="139">
        <v>122</v>
      </c>
      <c r="G51" s="139">
        <v>61.8</v>
      </c>
      <c r="H51" s="139">
        <v>55.1</v>
      </c>
      <c r="I51" s="139">
        <v>239</v>
      </c>
      <c r="J51" s="139">
        <v>31</v>
      </c>
      <c r="K51" s="139">
        <v>27</v>
      </c>
      <c r="L51" s="139">
        <v>844</v>
      </c>
      <c r="M51" s="139">
        <v>44</v>
      </c>
      <c r="N51" s="139">
        <v>71.400000000000006</v>
      </c>
      <c r="R51" s="134" t="str">
        <f>B103</f>
        <v>Pat Cummins</v>
      </c>
      <c r="S51">
        <f t="shared" ref="S51:AA51" si="29">B110</f>
        <v>2.2739291380222104</v>
      </c>
      <c r="T51">
        <f t="shared" si="29"/>
        <v>80.037652035959809</v>
      </c>
      <c r="U51">
        <f t="shared" si="29"/>
        <v>9.2724272871496485</v>
      </c>
      <c r="V51">
        <f t="shared" si="29"/>
        <v>2.6492649391856147</v>
      </c>
      <c r="W51">
        <f t="shared" si="29"/>
        <v>1.3246324695928073</v>
      </c>
      <c r="X51">
        <f t="shared" si="29"/>
        <v>3.8603913273400319</v>
      </c>
      <c r="Y51">
        <f t="shared" si="29"/>
        <v>0.58170280274986774</v>
      </c>
      <c r="Z51">
        <f t="shared" si="29"/>
        <v>0</v>
      </c>
      <c r="AA51">
        <f t="shared" si="29"/>
        <v>100</v>
      </c>
      <c r="AB51">
        <f>G105</f>
        <v>16.5</v>
      </c>
      <c r="AC51">
        <f>L103</f>
        <v>37.476636700158636</v>
      </c>
    </row>
    <row r="52" spans="1:29">
      <c r="A52" s="3"/>
      <c r="B52" s="163" t="s">
        <v>35</v>
      </c>
      <c r="C52" s="163">
        <v>0</v>
      </c>
      <c r="D52" s="164">
        <v>1</v>
      </c>
      <c r="E52" s="164">
        <v>2</v>
      </c>
      <c r="F52" s="164">
        <v>3</v>
      </c>
      <c r="G52" s="163">
        <v>4</v>
      </c>
      <c r="H52" s="163">
        <v>6</v>
      </c>
      <c r="I52" s="163" t="s">
        <v>251</v>
      </c>
      <c r="J52" s="163" t="s">
        <v>87</v>
      </c>
      <c r="K52" s="163" t="s">
        <v>250</v>
      </c>
      <c r="L52" s="3"/>
      <c r="M52" s="3"/>
      <c r="N52" s="3"/>
      <c r="O52" s="3"/>
      <c r="R52" s="134" t="str">
        <f>B2</f>
        <v>Azhar Ali</v>
      </c>
      <c r="S52">
        <f t="shared" ref="S52:X52" si="30">B9</f>
        <v>0.96920232098450554</v>
      </c>
      <c r="T52">
        <f t="shared" si="30"/>
        <v>75.95662181980488</v>
      </c>
      <c r="U52">
        <f t="shared" si="30"/>
        <v>14.168477013326532</v>
      </c>
      <c r="V52">
        <f t="shared" si="30"/>
        <v>3.7782605368870756</v>
      </c>
      <c r="W52">
        <f t="shared" si="30"/>
        <v>0.94456513422176891</v>
      </c>
      <c r="X52">
        <f t="shared" si="30"/>
        <v>4.0680992157112801</v>
      </c>
      <c r="Z52">
        <f>H9</f>
        <v>0.1147739590639546</v>
      </c>
      <c r="AA52">
        <f>J9</f>
        <v>100.00000000000001</v>
      </c>
      <c r="AB52">
        <f>G4</f>
        <v>43.3</v>
      </c>
      <c r="AC52">
        <f>L2</f>
        <v>41.519734106994839</v>
      </c>
    </row>
    <row r="53" spans="1:29">
      <c r="A53" s="3" t="s">
        <v>3</v>
      </c>
      <c r="B53" s="165"/>
      <c r="C53" s="165"/>
      <c r="D53" s="165">
        <f>D55*(D51-I53)</f>
        <v>2730</v>
      </c>
      <c r="E53" s="165">
        <f>E55*(D51-I53)</f>
        <v>780</v>
      </c>
      <c r="F53" s="165">
        <f>F55*(D51-I53)</f>
        <v>390</v>
      </c>
      <c r="G53" s="165">
        <f>L51*4</f>
        <v>3376</v>
      </c>
      <c r="H53" s="165">
        <f>M51*6</f>
        <v>264</v>
      </c>
      <c r="I53" s="172">
        <f>SUM(G53:H53)</f>
        <v>3640</v>
      </c>
      <c r="J53" s="3">
        <f>SUM(D53:H53)</f>
        <v>7540</v>
      </c>
      <c r="K53" s="172">
        <f>D51- J53</f>
        <v>0</v>
      </c>
      <c r="L53" s="3"/>
      <c r="M53" s="3"/>
      <c r="N53" s="3"/>
      <c r="O53" s="3"/>
    </row>
    <row r="54" spans="1:29">
      <c r="A54" s="3" t="s">
        <v>4</v>
      </c>
      <c r="B54" s="165">
        <f>F51</f>
        <v>122</v>
      </c>
      <c r="C54" s="165">
        <f>N51*E49/100</f>
        <v>9680.4120000000003</v>
      </c>
      <c r="D54" s="165">
        <f>D55*(E51-I54)</f>
        <v>2092.7115999999996</v>
      </c>
      <c r="E54" s="165">
        <f>E55*(E51-I54)</f>
        <v>597.91759999999999</v>
      </c>
      <c r="F54" s="165">
        <f>F55*(E51-I54)</f>
        <v>298.9588</v>
      </c>
      <c r="G54" s="173">
        <f>L51</f>
        <v>844</v>
      </c>
      <c r="H54" s="165">
        <f>M51</f>
        <v>44</v>
      </c>
      <c r="I54" s="171">
        <f>SUM(B54:C54,G54:H54)</f>
        <v>10690.412</v>
      </c>
      <c r="J54" s="3">
        <f>SUM(B54:H54)</f>
        <v>13680</v>
      </c>
      <c r="K54" s="172">
        <f>E51-J54</f>
        <v>0</v>
      </c>
      <c r="L54" s="3"/>
      <c r="M54" s="3"/>
      <c r="N54" s="3"/>
      <c r="O54" s="3"/>
    </row>
    <row r="55" spans="1:29">
      <c r="A55" s="3"/>
      <c r="B55" s="3"/>
      <c r="C55" s="3"/>
      <c r="D55" s="167">
        <v>0.7</v>
      </c>
      <c r="E55" s="167">
        <v>0.2</v>
      </c>
      <c r="F55" s="167">
        <v>0.1</v>
      </c>
      <c r="G55" s="3"/>
      <c r="H55" s="3"/>
      <c r="I55" s="3"/>
      <c r="J55" s="3"/>
      <c r="K55" s="3"/>
      <c r="L55">
        <f>H51</f>
        <v>55.1</v>
      </c>
      <c r="M55" t="s">
        <v>264</v>
      </c>
      <c r="N55" s="3"/>
      <c r="O55" s="3"/>
    </row>
    <row r="56" spans="1:29">
      <c r="A56" s="168" t="s">
        <v>249</v>
      </c>
      <c r="B56" s="168">
        <f>100*F51/E51</f>
        <v>0.89181286549707606</v>
      </c>
      <c r="C56" s="168">
        <f>100*C54/E51</f>
        <v>70.7632456140351</v>
      </c>
      <c r="D56" s="168">
        <f>100*D54/E51</f>
        <v>15.297599415204676</v>
      </c>
      <c r="E56" s="168">
        <f>100*E54/E51</f>
        <v>4.3707426900584796</v>
      </c>
      <c r="F56" s="168">
        <f>100*F54/E51</f>
        <v>2.1853713450292398</v>
      </c>
      <c r="G56" s="170">
        <f>100*L51/E51</f>
        <v>6.1695906432748542</v>
      </c>
      <c r="H56" s="170">
        <f>100*M51/E51</f>
        <v>0.32163742690058478</v>
      </c>
      <c r="I56" s="168"/>
      <c r="J56" s="168">
        <f>SUM(B56:H56)</f>
        <v>100</v>
      </c>
      <c r="K56" s="3"/>
      <c r="L56">
        <f>SUM(D57:H57)</f>
        <v>57.203385964912279</v>
      </c>
      <c r="M56" t="s">
        <v>261</v>
      </c>
      <c r="N56" s="3"/>
      <c r="O56" s="3"/>
    </row>
    <row r="57" spans="1:29">
      <c r="A57" s="3"/>
      <c r="B57" s="3"/>
      <c r="C57" s="3"/>
      <c r="D57" s="165">
        <f t="shared" ref="D57:G57" si="31">D56*D52</f>
        <v>15.297599415204676</v>
      </c>
      <c r="E57" s="165">
        <f t="shared" si="31"/>
        <v>8.7414853801169592</v>
      </c>
      <c r="F57" s="165">
        <f t="shared" si="31"/>
        <v>6.5561140350877194</v>
      </c>
      <c r="G57" s="165">
        <f t="shared" si="31"/>
        <v>24.678362573099417</v>
      </c>
      <c r="H57" s="165">
        <f>H56*H52</f>
        <v>1.9298245614035086</v>
      </c>
      <c r="I57" s="165"/>
      <c r="N57" s="3"/>
      <c r="O57" s="3"/>
    </row>
    <row r="58" spans="1:29" ht="15" thickBot="1">
      <c r="A58" s="176"/>
      <c r="B58" s="176" t="s">
        <v>258</v>
      </c>
      <c r="C58" s="176"/>
      <c r="D58" s="177"/>
      <c r="E58" s="178">
        <f>E60-F60</f>
        <v>26287</v>
      </c>
      <c r="F58" s="176"/>
      <c r="G58" s="176"/>
      <c r="H58" s="176"/>
      <c r="I58" s="176"/>
      <c r="J58" s="179"/>
      <c r="K58" s="179"/>
      <c r="L58" s="179">
        <f>SUM(D66:H66)</f>
        <v>46.531822151946379</v>
      </c>
      <c r="M58" s="179" t="s">
        <v>261</v>
      </c>
      <c r="N58" s="179"/>
      <c r="O58" s="179"/>
    </row>
    <row r="59" spans="1:29" s="142" customFormat="1" ht="15" thickBot="1">
      <c r="B59" s="143" t="s">
        <v>202</v>
      </c>
      <c r="C59" s="143" t="s">
        <v>203</v>
      </c>
      <c r="D59" s="143" t="s">
        <v>127</v>
      </c>
      <c r="E59" s="143" t="s">
        <v>217</v>
      </c>
      <c r="F59" s="143" t="s">
        <v>246</v>
      </c>
      <c r="G59" s="143" t="s">
        <v>129</v>
      </c>
      <c r="H59" s="143" t="s">
        <v>131</v>
      </c>
      <c r="I59" s="143" t="s">
        <v>128</v>
      </c>
      <c r="J59" s="143">
        <v>50</v>
      </c>
      <c r="K59" s="143">
        <v>100</v>
      </c>
      <c r="L59" s="143" t="s">
        <v>5</v>
      </c>
      <c r="M59" s="143" t="s">
        <v>6</v>
      </c>
      <c r="N59" s="143" t="s">
        <v>247</v>
      </c>
    </row>
    <row r="60" spans="1:29" s="142" customFormat="1" ht="15" thickBot="1">
      <c r="B60" s="144" t="s">
        <v>87</v>
      </c>
      <c r="C60" s="144">
        <v>291</v>
      </c>
      <c r="D60" s="145">
        <v>12472</v>
      </c>
      <c r="E60" s="145">
        <v>26562</v>
      </c>
      <c r="F60" s="144">
        <v>275</v>
      </c>
      <c r="G60" s="144">
        <v>45.4</v>
      </c>
      <c r="H60" s="144">
        <v>47</v>
      </c>
      <c r="I60" s="144">
        <v>294</v>
      </c>
      <c r="J60" s="144">
        <v>57</v>
      </c>
      <c r="K60" s="144">
        <v>33</v>
      </c>
      <c r="L60" s="145">
        <v>1445</v>
      </c>
      <c r="M60" s="144">
        <v>11</v>
      </c>
      <c r="N60" s="144">
        <v>75.400000000000006</v>
      </c>
    </row>
    <row r="61" spans="1:29">
      <c r="A61" s="3"/>
      <c r="B61" s="163" t="s">
        <v>35</v>
      </c>
      <c r="C61" s="163">
        <v>0</v>
      </c>
      <c r="D61" s="164">
        <v>1</v>
      </c>
      <c r="E61" s="164">
        <v>2</v>
      </c>
      <c r="F61" s="164">
        <v>3</v>
      </c>
      <c r="G61" s="163">
        <v>4</v>
      </c>
      <c r="H61" s="163">
        <v>6</v>
      </c>
      <c r="I61" s="163" t="s">
        <v>251</v>
      </c>
      <c r="J61" s="163" t="s">
        <v>87</v>
      </c>
      <c r="K61" s="163" t="s">
        <v>250</v>
      </c>
      <c r="L61" s="3"/>
      <c r="M61" s="3"/>
      <c r="N61" s="3"/>
      <c r="O61" s="3"/>
    </row>
    <row r="62" spans="1:29">
      <c r="A62" s="3" t="s">
        <v>3</v>
      </c>
      <c r="B62" s="165"/>
      <c r="C62" s="165"/>
      <c r="D62" s="165">
        <f>D64*(D60-I62)</f>
        <v>4969.5</v>
      </c>
      <c r="E62" s="165">
        <f>E64*(D60-I62)</f>
        <v>1325.2</v>
      </c>
      <c r="F62" s="165">
        <f>F64*(D60-I62)</f>
        <v>331.3</v>
      </c>
      <c r="G62" s="165">
        <f>L60*4</f>
        <v>5780</v>
      </c>
      <c r="H62" s="165">
        <f>M60*6</f>
        <v>66</v>
      </c>
      <c r="I62" s="172">
        <f>SUM(G62:H62)</f>
        <v>5846</v>
      </c>
      <c r="J62" s="3">
        <f>SUM(D62:H62)</f>
        <v>12472</v>
      </c>
      <c r="K62" s="172">
        <f>D60- J62</f>
        <v>0</v>
      </c>
      <c r="L62" s="3"/>
      <c r="M62" s="3"/>
      <c r="N62" s="3"/>
      <c r="O62" s="3"/>
    </row>
    <row r="63" spans="1:29">
      <c r="A63" s="3" t="s">
        <v>4</v>
      </c>
      <c r="B63" s="165">
        <f>F60</f>
        <v>275</v>
      </c>
      <c r="C63" s="165">
        <f>N60*E58/100</f>
        <v>19820.398000000001</v>
      </c>
      <c r="D63" s="165">
        <f>D64*(E60-I63)</f>
        <v>3757.9514999999992</v>
      </c>
      <c r="E63" s="165">
        <f>E64*(E60-I63)</f>
        <v>1002.1203999999998</v>
      </c>
      <c r="F63" s="165">
        <f>F64*(E60-I63)</f>
        <v>250.53009999999995</v>
      </c>
      <c r="G63" s="173">
        <f>L60</f>
        <v>1445</v>
      </c>
      <c r="H63" s="165">
        <f>M60</f>
        <v>11</v>
      </c>
      <c r="I63" s="171">
        <f>SUM(B63:C63,G63:H63)</f>
        <v>21551.398000000001</v>
      </c>
      <c r="J63" s="3">
        <f>SUM(B63:H63)</f>
        <v>26562</v>
      </c>
      <c r="K63" s="172">
        <f>E60-J63</f>
        <v>0</v>
      </c>
      <c r="L63" s="3"/>
      <c r="M63" s="3"/>
      <c r="N63" s="3"/>
      <c r="O63" s="3"/>
    </row>
    <row r="64" spans="1:29">
      <c r="A64" s="3"/>
      <c r="B64" s="3"/>
      <c r="C64" s="3"/>
      <c r="D64" s="167">
        <v>0.75</v>
      </c>
      <c r="E64" s="167">
        <v>0.2</v>
      </c>
      <c r="F64" s="167">
        <v>0.05</v>
      </c>
      <c r="G64" s="3"/>
      <c r="H64" s="3"/>
      <c r="I64" s="3"/>
      <c r="J64" s="3"/>
      <c r="K64" s="3"/>
      <c r="L64">
        <f>H60</f>
        <v>47</v>
      </c>
      <c r="M64" t="s">
        <v>264</v>
      </c>
      <c r="N64" s="3"/>
      <c r="O64" s="3"/>
    </row>
    <row r="65" spans="1:15">
      <c r="A65" s="168" t="s">
        <v>249</v>
      </c>
      <c r="B65" s="168">
        <f>100*F60/E60</f>
        <v>1.03531360590317</v>
      </c>
      <c r="C65" s="168">
        <f>100*C63/E60</f>
        <v>74.619373541149017</v>
      </c>
      <c r="D65" s="168">
        <f>100*D63/E60</f>
        <v>14.147848430088093</v>
      </c>
      <c r="E65" s="168">
        <f>100*E63/E60</f>
        <v>3.7727595813568247</v>
      </c>
      <c r="F65" s="168">
        <f>100*F63/E60</f>
        <v>0.94318989533920616</v>
      </c>
      <c r="G65" s="170">
        <f>100*L60/E60</f>
        <v>5.4401024019275654</v>
      </c>
      <c r="H65" s="170">
        <f>100*M60/E60</f>
        <v>4.1412544236126794E-2</v>
      </c>
      <c r="I65" s="168"/>
      <c r="J65" s="168">
        <f>SUM(B65:H65)</f>
        <v>99.999999999999986</v>
      </c>
      <c r="K65" s="3"/>
      <c r="L65">
        <f>SUM(D66:H66)</f>
        <v>46.531822151946379</v>
      </c>
      <c r="M65" t="s">
        <v>261</v>
      </c>
      <c r="N65" s="3"/>
      <c r="O65" s="3"/>
    </row>
    <row r="66" spans="1:15">
      <c r="A66" s="3"/>
      <c r="B66" s="3"/>
      <c r="C66" s="3"/>
      <c r="D66" s="165">
        <f t="shared" ref="D66:G66" si="32">D65*D61</f>
        <v>14.147848430088093</v>
      </c>
      <c r="E66" s="165">
        <f t="shared" si="32"/>
        <v>7.5455191627136493</v>
      </c>
      <c r="F66" s="165">
        <f t="shared" si="32"/>
        <v>2.8295696860176185</v>
      </c>
      <c r="G66" s="165">
        <f t="shared" si="32"/>
        <v>21.760409607710262</v>
      </c>
      <c r="H66" s="165">
        <f>H65*H61</f>
        <v>0.24847526541676077</v>
      </c>
      <c r="I66" s="165"/>
      <c r="O66" s="3"/>
    </row>
    <row r="67" spans="1:15" ht="15" thickBot="1">
      <c r="A67" s="176"/>
      <c r="B67" s="176" t="s">
        <v>259</v>
      </c>
      <c r="C67" s="176"/>
      <c r="D67" s="177"/>
      <c r="E67" s="178"/>
      <c r="F67" s="176"/>
      <c r="G67" s="176"/>
      <c r="H67" s="176"/>
      <c r="I67" s="176"/>
      <c r="J67" s="179"/>
      <c r="K67" s="179"/>
      <c r="L67" s="179">
        <f>SUM(D75:H75)</f>
        <v>50.508378413693961</v>
      </c>
      <c r="M67" s="179" t="s">
        <v>261</v>
      </c>
      <c r="N67" s="179"/>
      <c r="O67" s="179"/>
    </row>
    <row r="68" spans="1:15" s="142" customFormat="1" ht="15" thickBot="1">
      <c r="B68" s="143" t="s">
        <v>202</v>
      </c>
      <c r="C68" s="143" t="s">
        <v>203</v>
      </c>
      <c r="D68" s="143" t="s">
        <v>127</v>
      </c>
      <c r="E68" s="143" t="s">
        <v>217</v>
      </c>
      <c r="F68" s="143" t="s">
        <v>246</v>
      </c>
      <c r="G68" s="143" t="s">
        <v>129</v>
      </c>
      <c r="H68" s="143" t="s">
        <v>131</v>
      </c>
      <c r="I68" s="143" t="s">
        <v>128</v>
      </c>
      <c r="J68" s="143">
        <v>50</v>
      </c>
      <c r="K68" s="143">
        <v>100</v>
      </c>
      <c r="L68" s="143" t="s">
        <v>5</v>
      </c>
      <c r="M68" s="143" t="s">
        <v>6</v>
      </c>
      <c r="N68" s="143" t="s">
        <v>247</v>
      </c>
    </row>
    <row r="69" spans="1:15" s="142" customFormat="1" ht="15" thickBot="1">
      <c r="B69" s="144" t="s">
        <v>87</v>
      </c>
      <c r="C69" s="144">
        <v>142</v>
      </c>
      <c r="D69" s="145">
        <v>3844</v>
      </c>
      <c r="E69" s="145">
        <v>7653</v>
      </c>
      <c r="F69" s="144">
        <v>126</v>
      </c>
      <c r="G69" s="144">
        <v>30.5</v>
      </c>
      <c r="H69" s="144">
        <v>50.2</v>
      </c>
      <c r="I69" s="144">
        <v>122</v>
      </c>
      <c r="J69" s="144">
        <v>25</v>
      </c>
      <c r="K69" s="144">
        <v>2</v>
      </c>
      <c r="L69" s="144">
        <v>456</v>
      </c>
      <c r="M69" s="144">
        <v>13</v>
      </c>
      <c r="N69" s="144">
        <v>73.900000000000006</v>
      </c>
    </row>
    <row r="70" spans="1:15">
      <c r="A70" s="3"/>
      <c r="B70" s="163" t="s">
        <v>35</v>
      </c>
      <c r="C70" s="163">
        <v>0</v>
      </c>
      <c r="D70" s="164">
        <v>1</v>
      </c>
      <c r="E70" s="164">
        <v>2</v>
      </c>
      <c r="F70" s="164">
        <v>3</v>
      </c>
      <c r="G70" s="163">
        <v>4</v>
      </c>
      <c r="H70" s="163">
        <v>6</v>
      </c>
      <c r="I70" s="163" t="s">
        <v>251</v>
      </c>
      <c r="J70" s="163" t="s">
        <v>87</v>
      </c>
      <c r="K70" s="163" t="s">
        <v>250</v>
      </c>
      <c r="L70" s="3"/>
      <c r="M70" s="3"/>
      <c r="N70" s="3"/>
      <c r="O70" s="3"/>
    </row>
    <row r="71" spans="1:15">
      <c r="A71" s="3" t="s">
        <v>3</v>
      </c>
      <c r="B71" s="165"/>
      <c r="C71" s="165"/>
      <c r="D71" s="165">
        <f>D73*(D69-I71)</f>
        <v>1359.3999999999999</v>
      </c>
      <c r="E71" s="165">
        <f>E73*(D69-I71)</f>
        <v>388.40000000000003</v>
      </c>
      <c r="F71" s="165">
        <f>F73*(D69-I71)</f>
        <v>194.20000000000002</v>
      </c>
      <c r="G71" s="165">
        <f>L69*4</f>
        <v>1824</v>
      </c>
      <c r="H71" s="165">
        <f>M69*6</f>
        <v>78</v>
      </c>
      <c r="I71" s="172">
        <f>SUM(G71:H71)</f>
        <v>1902</v>
      </c>
      <c r="J71" s="3">
        <f>SUM(D71:H71)</f>
        <v>3844</v>
      </c>
      <c r="K71" s="172">
        <f>D69- J71</f>
        <v>0</v>
      </c>
      <c r="L71" s="3"/>
      <c r="M71" s="3"/>
      <c r="N71" s="3"/>
      <c r="O71" s="3"/>
    </row>
    <row r="72" spans="1:15">
      <c r="A72" s="3" t="s">
        <v>4</v>
      </c>
      <c r="B72" s="165">
        <f>F69</f>
        <v>126</v>
      </c>
      <c r="C72" s="165">
        <f>N69*E69/100</f>
        <v>5655.5670000000009</v>
      </c>
      <c r="D72" s="165">
        <f>D73*(E69-I72)</f>
        <v>981.70309999999927</v>
      </c>
      <c r="E72" s="165">
        <f>E73*(E69-I72)</f>
        <v>280.48659999999984</v>
      </c>
      <c r="F72" s="165">
        <f>F73*(E69-I72)</f>
        <v>140.24329999999992</v>
      </c>
      <c r="G72" s="173">
        <f>L69</f>
        <v>456</v>
      </c>
      <c r="H72" s="165">
        <f>M69</f>
        <v>13</v>
      </c>
      <c r="I72" s="171">
        <f>SUM(B72:C72,G72:H72)</f>
        <v>6250.5670000000009</v>
      </c>
      <c r="J72" s="3">
        <f>SUM(B72:H72)</f>
        <v>7653</v>
      </c>
      <c r="K72" s="172">
        <f>E69-J72</f>
        <v>0</v>
      </c>
      <c r="L72" s="3"/>
      <c r="M72" s="3"/>
      <c r="N72" s="3"/>
      <c r="O72" s="3"/>
    </row>
    <row r="73" spans="1:15">
      <c r="A73" s="3"/>
      <c r="B73" s="3"/>
      <c r="C73" s="3"/>
      <c r="D73" s="167">
        <v>0.7</v>
      </c>
      <c r="E73" s="167">
        <v>0.2</v>
      </c>
      <c r="F73" s="167">
        <v>0.1</v>
      </c>
      <c r="G73" s="3"/>
      <c r="H73" s="3"/>
      <c r="I73" s="3"/>
      <c r="J73" s="3"/>
      <c r="K73" s="3"/>
      <c r="L73">
        <f>H69</f>
        <v>50.2</v>
      </c>
      <c r="M73" t="s">
        <v>264</v>
      </c>
      <c r="N73" s="3"/>
      <c r="O73" s="3"/>
    </row>
    <row r="74" spans="1:15">
      <c r="A74" s="168" t="s">
        <v>249</v>
      </c>
      <c r="B74" s="168">
        <f>100*F69/E69</f>
        <v>1.6464131713053705</v>
      </c>
      <c r="C74" s="168">
        <f>100*C72/E69</f>
        <v>73.900000000000006</v>
      </c>
      <c r="D74" s="168">
        <f>100*D72/E69</f>
        <v>12.827689794851683</v>
      </c>
      <c r="E74" s="168">
        <f>100*E72/E69</f>
        <v>3.6650542271004816</v>
      </c>
      <c r="F74" s="168">
        <f>100*F72/E69</f>
        <v>1.8325271135502408</v>
      </c>
      <c r="G74" s="170">
        <f>100*L69/E69</f>
        <v>5.9584476675813409</v>
      </c>
      <c r="H74" s="170">
        <f>100*M69/E69</f>
        <v>0.16986802561087155</v>
      </c>
      <c r="I74" s="168"/>
      <c r="J74" s="168">
        <f>SUM(B74:H74)</f>
        <v>99.999999999999986</v>
      </c>
      <c r="K74" s="3"/>
      <c r="L74">
        <f>SUM(D75:H75)</f>
        <v>50.508378413693961</v>
      </c>
      <c r="M74" t="s">
        <v>261</v>
      </c>
      <c r="N74" s="3"/>
      <c r="O74" s="3"/>
    </row>
    <row r="75" spans="1:15">
      <c r="A75" s="3"/>
      <c r="B75" s="3"/>
      <c r="C75" s="3"/>
      <c r="D75" s="165">
        <f t="shared" ref="D75:G75" si="33">D74*D70</f>
        <v>12.827689794851683</v>
      </c>
      <c r="E75" s="165">
        <f t="shared" si="33"/>
        <v>7.3301084542009631</v>
      </c>
      <c r="F75" s="165">
        <f t="shared" si="33"/>
        <v>5.4975813406507221</v>
      </c>
      <c r="G75" s="165">
        <f t="shared" si="33"/>
        <v>23.833790670325364</v>
      </c>
      <c r="H75" s="165">
        <f>H74*H70</f>
        <v>1.0192081536652293</v>
      </c>
      <c r="I75" s="165"/>
      <c r="O75" s="3"/>
    </row>
    <row r="76" spans="1:15" ht="15" thickBot="1">
      <c r="A76" s="176"/>
      <c r="B76" s="176" t="s">
        <v>260</v>
      </c>
      <c r="C76" s="176"/>
      <c r="D76" s="177"/>
      <c r="E76" s="178">
        <f>E78-F78</f>
        <v>2334</v>
      </c>
      <c r="F76" s="176"/>
      <c r="G76" s="176"/>
      <c r="H76" s="176"/>
      <c r="I76" s="176"/>
      <c r="J76" s="179"/>
      <c r="K76" s="179"/>
      <c r="L76" s="179">
        <f>SUM(D84:H84)</f>
        <v>38.524175642087812</v>
      </c>
      <c r="M76" s="179" t="s">
        <v>261</v>
      </c>
      <c r="N76" s="176"/>
      <c r="O76" s="179"/>
    </row>
    <row r="77" spans="1:15" s="142" customFormat="1" ht="15" thickBot="1">
      <c r="B77" s="143" t="s">
        <v>202</v>
      </c>
      <c r="C77" s="143" t="s">
        <v>203</v>
      </c>
      <c r="D77" s="143" t="s">
        <v>127</v>
      </c>
      <c r="E77" s="143" t="s">
        <v>217</v>
      </c>
      <c r="F77" s="143" t="s">
        <v>246</v>
      </c>
      <c r="G77" s="143" t="s">
        <v>129</v>
      </c>
      <c r="H77" s="143" t="s">
        <v>131</v>
      </c>
      <c r="I77" s="143" t="s">
        <v>128</v>
      </c>
      <c r="J77" s="143">
        <v>50</v>
      </c>
      <c r="K77" s="143">
        <v>100</v>
      </c>
      <c r="L77" s="143" t="s">
        <v>5</v>
      </c>
      <c r="M77" s="143" t="s">
        <v>6</v>
      </c>
      <c r="N77" s="143" t="s">
        <v>247</v>
      </c>
    </row>
    <row r="78" spans="1:15" s="142" customFormat="1" ht="15" thickBot="1">
      <c r="B78" s="144" t="s">
        <v>87</v>
      </c>
      <c r="C78" s="144">
        <v>101</v>
      </c>
      <c r="D78" s="144">
        <v>921</v>
      </c>
      <c r="E78" s="145">
        <v>2414</v>
      </c>
      <c r="F78" s="144">
        <v>80</v>
      </c>
      <c r="G78" s="144">
        <v>11.5</v>
      </c>
      <c r="H78" s="144">
        <v>38.200000000000003</v>
      </c>
      <c r="I78" s="144">
        <v>41</v>
      </c>
      <c r="J78" s="144">
        <v>0</v>
      </c>
      <c r="K78" s="144">
        <v>0</v>
      </c>
      <c r="L78" s="144">
        <v>108</v>
      </c>
      <c r="M78" s="144">
        <v>9</v>
      </c>
      <c r="N78" s="144">
        <v>81.400000000000006</v>
      </c>
    </row>
    <row r="79" spans="1:15">
      <c r="A79" s="3"/>
      <c r="B79" s="163" t="s">
        <v>35</v>
      </c>
      <c r="C79" s="163">
        <v>0</v>
      </c>
      <c r="D79" s="164">
        <v>1</v>
      </c>
      <c r="E79" s="164">
        <v>2</v>
      </c>
      <c r="F79" s="164">
        <v>3</v>
      </c>
      <c r="G79" s="163">
        <v>4</v>
      </c>
      <c r="H79" s="163">
        <v>6</v>
      </c>
      <c r="I79" s="163" t="s">
        <v>251</v>
      </c>
      <c r="J79" s="163" t="s">
        <v>87</v>
      </c>
      <c r="K79" s="163" t="s">
        <v>250</v>
      </c>
      <c r="L79" s="3"/>
      <c r="M79" s="3"/>
      <c r="N79" s="3"/>
      <c r="O79" s="3"/>
    </row>
    <row r="80" spans="1:15">
      <c r="A80" s="3" t="s">
        <v>3</v>
      </c>
      <c r="B80" s="165"/>
      <c r="C80" s="165"/>
      <c r="D80" s="165">
        <f>D82*(D78-I80)</f>
        <v>304.5</v>
      </c>
      <c r="E80" s="165">
        <f>E82*(D78-I80)</f>
        <v>87</v>
      </c>
      <c r="F80" s="165">
        <f>F82*(D78-I80)</f>
        <v>43.5</v>
      </c>
      <c r="G80" s="165">
        <f>L78*4</f>
        <v>432</v>
      </c>
      <c r="H80" s="165">
        <f>M78*6</f>
        <v>54</v>
      </c>
      <c r="I80" s="172">
        <f>SUM(G80:H80)</f>
        <v>486</v>
      </c>
      <c r="J80" s="3">
        <f>SUM(D80:H80)</f>
        <v>921</v>
      </c>
      <c r="K80" s="172">
        <f>D78- J80</f>
        <v>0</v>
      </c>
      <c r="L80" s="3"/>
      <c r="M80" s="3"/>
      <c r="N80" s="3"/>
      <c r="O80" s="3"/>
    </row>
    <row r="81" spans="1:15">
      <c r="A81" s="3" t="s">
        <v>4</v>
      </c>
      <c r="B81" s="165">
        <f>F78</f>
        <v>80</v>
      </c>
      <c r="C81" s="165">
        <f>N78*E76/100</f>
        <v>1899.876</v>
      </c>
      <c r="D81" s="165">
        <f>D82*(E78-I81)</f>
        <v>221.98679999999985</v>
      </c>
      <c r="E81" s="165">
        <f>E82*(E78-I81)</f>
        <v>63.424799999999962</v>
      </c>
      <c r="F81" s="165">
        <f>F82*(E78-I81)</f>
        <v>31.712399999999981</v>
      </c>
      <c r="G81" s="173">
        <f>L78</f>
        <v>108</v>
      </c>
      <c r="H81" s="165">
        <f>M78</f>
        <v>9</v>
      </c>
      <c r="I81" s="171">
        <f>SUM(B81:C81,G81:H81)</f>
        <v>2096.8760000000002</v>
      </c>
      <c r="J81" s="3">
        <f>SUM(B81:H81)</f>
        <v>2413.9999999999995</v>
      </c>
      <c r="K81" s="172">
        <f>E78-J81</f>
        <v>0</v>
      </c>
      <c r="L81" s="3"/>
      <c r="M81" s="3"/>
      <c r="N81" s="3"/>
      <c r="O81" s="3"/>
    </row>
    <row r="82" spans="1:15">
      <c r="A82" s="3"/>
      <c r="B82" s="3"/>
      <c r="C82" s="3"/>
      <c r="D82" s="167">
        <v>0.7</v>
      </c>
      <c r="E82" s="167">
        <v>0.2</v>
      </c>
      <c r="F82" s="167">
        <v>0.1</v>
      </c>
      <c r="G82" s="3"/>
      <c r="H82" s="3"/>
      <c r="I82" s="3"/>
      <c r="J82" s="3"/>
      <c r="K82" s="3"/>
      <c r="L82">
        <f>H78</f>
        <v>38.200000000000003</v>
      </c>
      <c r="M82" t="s">
        <v>264</v>
      </c>
      <c r="N82" s="3"/>
      <c r="O82" s="3"/>
    </row>
    <row r="83" spans="1:15">
      <c r="A83" s="168" t="s">
        <v>249</v>
      </c>
      <c r="B83" s="168">
        <f>100*F78/E78</f>
        <v>3.3140016570008286</v>
      </c>
      <c r="C83" s="168">
        <f>100*C81/E78</f>
        <v>78.702402651201325</v>
      </c>
      <c r="D83" s="168">
        <f>100*D81/E78</f>
        <v>9.1958077879038882</v>
      </c>
      <c r="E83" s="168">
        <f>100*E81/E78</f>
        <v>2.6273736536868251</v>
      </c>
      <c r="F83" s="168">
        <f>100*F81/E78</f>
        <v>1.3136868268434125</v>
      </c>
      <c r="G83" s="170">
        <f>100*L78/E78</f>
        <v>4.4739022369511181</v>
      </c>
      <c r="H83" s="170">
        <f>100*M78/E78</f>
        <v>0.37282518641259321</v>
      </c>
      <c r="I83" s="168"/>
      <c r="J83" s="168">
        <f>SUM(B83:H83)</f>
        <v>100</v>
      </c>
      <c r="K83" s="3"/>
      <c r="L83">
        <f>SUM(D84:H84)</f>
        <v>38.524175642087812</v>
      </c>
      <c r="M83" t="s">
        <v>261</v>
      </c>
      <c r="N83" s="3"/>
      <c r="O83" s="3"/>
    </row>
    <row r="84" spans="1:15">
      <c r="A84" s="3"/>
      <c r="B84" s="3"/>
      <c r="C84" s="3"/>
      <c r="D84" s="165">
        <f t="shared" ref="D84:G84" si="34">D83*D79</f>
        <v>9.1958077879038882</v>
      </c>
      <c r="E84" s="165">
        <f t="shared" si="34"/>
        <v>5.2547473073736501</v>
      </c>
      <c r="F84" s="165">
        <f t="shared" si="34"/>
        <v>3.9410604805302376</v>
      </c>
      <c r="G84" s="165">
        <f t="shared" si="34"/>
        <v>17.895608947804472</v>
      </c>
      <c r="H84" s="165">
        <f>H83*H79</f>
        <v>2.2369511184755595</v>
      </c>
      <c r="I84" s="165"/>
      <c r="O84" s="3"/>
    </row>
    <row r="85" spans="1:15" ht="15" thickBot="1">
      <c r="A85" s="176"/>
      <c r="B85" s="176" t="s">
        <v>263</v>
      </c>
      <c r="C85" s="176"/>
      <c r="D85" s="177"/>
      <c r="E85" s="178">
        <f>E87-F87</f>
        <v>512</v>
      </c>
      <c r="F85" s="176"/>
      <c r="G85" s="176"/>
      <c r="H85" s="176"/>
      <c r="I85" s="176"/>
      <c r="J85" s="179"/>
      <c r="K85" s="179"/>
      <c r="L85" s="179">
        <f>SUM(D93:H93)</f>
        <v>20.452379248658314</v>
      </c>
      <c r="M85" s="179" t="s">
        <v>261</v>
      </c>
      <c r="N85" s="176"/>
      <c r="O85" s="179"/>
    </row>
    <row r="86" spans="1:15" ht="15" thickBot="1">
      <c r="B86" s="138" t="s">
        <v>202</v>
      </c>
      <c r="C86" s="138" t="s">
        <v>203</v>
      </c>
      <c r="D86" s="138" t="s">
        <v>127</v>
      </c>
      <c r="E86" s="138" t="s">
        <v>217</v>
      </c>
      <c r="F86" s="138" t="s">
        <v>246</v>
      </c>
      <c r="G86" s="138" t="s">
        <v>129</v>
      </c>
      <c r="H86" s="138" t="s">
        <v>131</v>
      </c>
      <c r="I86" s="138" t="s">
        <v>128</v>
      </c>
      <c r="J86" s="138">
        <v>50</v>
      </c>
      <c r="K86" s="138">
        <v>100</v>
      </c>
      <c r="L86" s="138" t="s">
        <v>5</v>
      </c>
      <c r="M86" s="138" t="s">
        <v>6</v>
      </c>
      <c r="N86" s="138" t="s">
        <v>247</v>
      </c>
    </row>
    <row r="87" spans="1:15" ht="15" thickBot="1">
      <c r="B87" s="139" t="s">
        <v>87</v>
      </c>
      <c r="C87" s="139">
        <v>89</v>
      </c>
      <c r="D87" s="139">
        <v>111</v>
      </c>
      <c r="E87" s="139">
        <v>559</v>
      </c>
      <c r="F87" s="139">
        <v>47</v>
      </c>
      <c r="G87" s="139">
        <v>2.4</v>
      </c>
      <c r="H87" s="139">
        <v>19.899999999999999</v>
      </c>
      <c r="I87" s="139">
        <v>12</v>
      </c>
      <c r="J87" s="139">
        <v>0</v>
      </c>
      <c r="K87" s="139">
        <v>0</v>
      </c>
      <c r="L87" s="139">
        <v>13</v>
      </c>
      <c r="M87" s="139">
        <v>0</v>
      </c>
      <c r="N87" s="139">
        <v>90.3</v>
      </c>
    </row>
    <row r="88" spans="1:15">
      <c r="A88" s="3"/>
      <c r="B88" s="163" t="s">
        <v>35</v>
      </c>
      <c r="C88" s="163">
        <v>0</v>
      </c>
      <c r="D88" s="164">
        <v>1</v>
      </c>
      <c r="E88" s="164">
        <v>2</v>
      </c>
      <c r="F88" s="164">
        <v>3</v>
      </c>
      <c r="G88" s="163">
        <v>4</v>
      </c>
      <c r="H88" s="163">
        <v>6</v>
      </c>
      <c r="I88" s="163" t="s">
        <v>251</v>
      </c>
      <c r="J88" s="163" t="s">
        <v>87</v>
      </c>
      <c r="K88" s="163" t="s">
        <v>250</v>
      </c>
      <c r="L88" s="3"/>
      <c r="M88" s="3"/>
      <c r="N88" s="3"/>
      <c r="O88" s="3"/>
    </row>
    <row r="89" spans="1:15">
      <c r="A89" s="3" t="s">
        <v>3</v>
      </c>
      <c r="B89" s="165"/>
      <c r="C89" s="165"/>
      <c r="D89" s="165">
        <f>D91*(D87-I89)</f>
        <v>29.5</v>
      </c>
      <c r="E89" s="165">
        <f>E91*(D87-I89)</f>
        <v>17.7</v>
      </c>
      <c r="F89" s="165">
        <f>F91*(D87-I89)</f>
        <v>11.8</v>
      </c>
      <c r="G89" s="165">
        <f>L87*4</f>
        <v>52</v>
      </c>
      <c r="H89" s="165">
        <f>M87*6</f>
        <v>0</v>
      </c>
      <c r="I89" s="172">
        <f>SUM(G89:H89)</f>
        <v>52</v>
      </c>
      <c r="J89" s="3">
        <f>SUM(D89:H89)</f>
        <v>111</v>
      </c>
      <c r="K89" s="172">
        <f>D87- J89</f>
        <v>0</v>
      </c>
      <c r="L89" s="3"/>
      <c r="M89" s="3"/>
      <c r="N89" s="3"/>
      <c r="O89" s="3"/>
    </row>
    <row r="90" spans="1:15">
      <c r="A90" s="3" t="s">
        <v>4</v>
      </c>
      <c r="B90" s="165">
        <f>F87</f>
        <v>47</v>
      </c>
      <c r="C90" s="165">
        <f>N87*E85/100</f>
        <v>462.33600000000001</v>
      </c>
      <c r="D90" s="165">
        <f>D91*(E87-I90)</f>
        <v>18.331999999999994</v>
      </c>
      <c r="E90" s="165">
        <f>E91*(E87-I90)</f>
        <v>10.999199999999997</v>
      </c>
      <c r="F90" s="165">
        <f>F91*(E87-I90)</f>
        <v>7.332799999999998</v>
      </c>
      <c r="G90" s="173">
        <f>L87</f>
        <v>13</v>
      </c>
      <c r="H90" s="165">
        <f>M87</f>
        <v>0</v>
      </c>
      <c r="I90" s="171">
        <f>SUM(B90:C90,G90:H90)</f>
        <v>522.33600000000001</v>
      </c>
      <c r="J90" s="3">
        <f>SUM(B90:H90)</f>
        <v>559</v>
      </c>
      <c r="K90" s="172">
        <f>E87-J90</f>
        <v>0</v>
      </c>
      <c r="L90" s="3"/>
      <c r="M90" s="3"/>
      <c r="N90" s="3"/>
      <c r="O90" s="3"/>
    </row>
    <row r="91" spans="1:15">
      <c r="A91" s="3"/>
      <c r="B91" s="3"/>
      <c r="C91" s="3"/>
      <c r="D91" s="167">
        <v>0.5</v>
      </c>
      <c r="E91" s="167">
        <v>0.3</v>
      </c>
      <c r="F91" s="167">
        <v>0.2</v>
      </c>
      <c r="G91" s="3"/>
      <c r="H91" s="3"/>
      <c r="I91" s="3"/>
      <c r="J91" s="3"/>
      <c r="K91" s="3"/>
      <c r="L91">
        <f>H87</f>
        <v>19.899999999999999</v>
      </c>
      <c r="M91" t="s">
        <v>264</v>
      </c>
      <c r="N91" s="3"/>
      <c r="O91" s="3"/>
    </row>
    <row r="92" spans="1:15">
      <c r="A92" s="168" t="s">
        <v>249</v>
      </c>
      <c r="B92" s="168">
        <f>100*F87/E87</f>
        <v>8.4078711985688734</v>
      </c>
      <c r="C92" s="168">
        <f>100*C90/E87</f>
        <v>82.707692307692298</v>
      </c>
      <c r="D92" s="168">
        <f>100*D90/E87</f>
        <v>3.27942754919499</v>
      </c>
      <c r="E92" s="168">
        <f>100*E90/E87</f>
        <v>1.9676565295169939</v>
      </c>
      <c r="F92" s="168">
        <f>100*F90/E87</f>
        <v>1.3117710196779959</v>
      </c>
      <c r="G92" s="170">
        <f>100*L87/E87</f>
        <v>2.3255813953488373</v>
      </c>
      <c r="H92" s="170">
        <f>100*M87/E87</f>
        <v>0</v>
      </c>
      <c r="I92" s="168"/>
      <c r="J92" s="168">
        <f>SUM(B92:H92)</f>
        <v>99.999999999999986</v>
      </c>
      <c r="K92" s="3"/>
      <c r="L92">
        <f>SUM(D93:H93)</f>
        <v>20.452379248658314</v>
      </c>
      <c r="M92" t="s">
        <v>261</v>
      </c>
      <c r="N92" s="3"/>
      <c r="O92" s="3"/>
    </row>
    <row r="93" spans="1:15">
      <c r="A93" s="3"/>
      <c r="B93" s="3"/>
      <c r="C93" s="3"/>
      <c r="D93" s="165">
        <f t="shared" ref="D93:G93" si="35">D92*D88</f>
        <v>3.27942754919499</v>
      </c>
      <c r="E93" s="165">
        <f t="shared" si="35"/>
        <v>3.9353130590339878</v>
      </c>
      <c r="F93" s="165">
        <f t="shared" si="35"/>
        <v>3.9353130590339878</v>
      </c>
      <c r="G93" s="165">
        <f t="shared" si="35"/>
        <v>9.3023255813953494</v>
      </c>
      <c r="H93" s="165">
        <f>H92*H88</f>
        <v>0</v>
      </c>
      <c r="I93" s="165"/>
      <c r="O93" s="3"/>
    </row>
    <row r="94" spans="1:15" ht="15" thickBot="1">
      <c r="A94" s="176"/>
      <c r="B94" s="176" t="s">
        <v>266</v>
      </c>
      <c r="C94" s="176"/>
      <c r="D94" s="177"/>
      <c r="E94" s="178">
        <f>E96-F96</f>
        <v>674</v>
      </c>
      <c r="F94" s="176"/>
      <c r="G94" s="176"/>
      <c r="H94" s="176"/>
      <c r="I94" s="176"/>
      <c r="J94" s="179"/>
      <c r="K94" s="179"/>
      <c r="L94" s="179">
        <f>SUM(D102:H102)</f>
        <v>49.311878453038666</v>
      </c>
      <c r="M94" s="179" t="s">
        <v>261</v>
      </c>
      <c r="N94" s="176"/>
      <c r="O94" s="179"/>
    </row>
    <row r="95" spans="1:15" s="142" customFormat="1" ht="15" thickBot="1">
      <c r="B95" s="143" t="s">
        <v>202</v>
      </c>
      <c r="C95" s="143" t="s">
        <v>203</v>
      </c>
      <c r="D95" s="143" t="s">
        <v>127</v>
      </c>
      <c r="E95" s="143" t="s">
        <v>217</v>
      </c>
      <c r="F95" s="143" t="s">
        <v>246</v>
      </c>
      <c r="G95" s="143" t="s">
        <v>129</v>
      </c>
      <c r="H95" s="143" t="s">
        <v>131</v>
      </c>
      <c r="I95" s="143" t="s">
        <v>128</v>
      </c>
      <c r="J95" s="143">
        <v>50</v>
      </c>
      <c r="K95" s="143">
        <v>100</v>
      </c>
      <c r="L95" s="143" t="s">
        <v>5</v>
      </c>
      <c r="M95" s="143" t="s">
        <v>6</v>
      </c>
      <c r="N95" s="143" t="s">
        <v>247</v>
      </c>
    </row>
    <row r="96" spans="1:15" s="142" customFormat="1" ht="15" thickBot="1">
      <c r="B96" s="144" t="s">
        <v>87</v>
      </c>
      <c r="C96" s="144">
        <v>80</v>
      </c>
      <c r="D96" s="144">
        <v>352</v>
      </c>
      <c r="E96" s="144">
        <v>724</v>
      </c>
      <c r="F96" s="144">
        <v>50</v>
      </c>
      <c r="G96" s="144">
        <v>7</v>
      </c>
      <c r="H96" s="144">
        <v>48.6</v>
      </c>
      <c r="I96" s="144">
        <v>29</v>
      </c>
      <c r="J96" s="144">
        <v>0</v>
      </c>
      <c r="K96" s="144">
        <v>0</v>
      </c>
      <c r="L96" s="144">
        <v>45</v>
      </c>
      <c r="M96" s="144">
        <v>3</v>
      </c>
      <c r="N96" s="144">
        <v>79</v>
      </c>
    </row>
    <row r="97" spans="1:15">
      <c r="A97" s="3"/>
      <c r="B97" s="163" t="s">
        <v>35</v>
      </c>
      <c r="C97" s="163">
        <v>0</v>
      </c>
      <c r="D97" s="164">
        <v>1</v>
      </c>
      <c r="E97" s="164">
        <v>2</v>
      </c>
      <c r="F97" s="164">
        <v>3</v>
      </c>
      <c r="G97" s="163">
        <v>4</v>
      </c>
      <c r="H97" s="163">
        <v>6</v>
      </c>
      <c r="I97" s="163" t="s">
        <v>251</v>
      </c>
      <c r="J97" s="163" t="s">
        <v>87</v>
      </c>
      <c r="K97" s="163" t="s">
        <v>250</v>
      </c>
      <c r="L97" s="3"/>
      <c r="M97" s="3"/>
      <c r="N97" s="3"/>
      <c r="O97" s="3"/>
    </row>
    <row r="98" spans="1:15">
      <c r="A98" s="3" t="s">
        <v>3</v>
      </c>
      <c r="B98" s="165"/>
      <c r="C98" s="165"/>
      <c r="D98" s="165">
        <f>D100*(D96-I98)</f>
        <v>77</v>
      </c>
      <c r="E98" s="165">
        <f>E100*(D96-I98)</f>
        <v>46.199999999999996</v>
      </c>
      <c r="F98" s="165">
        <f>F100*(D96-I98)</f>
        <v>30.8</v>
      </c>
      <c r="G98" s="165">
        <f>L96*4</f>
        <v>180</v>
      </c>
      <c r="H98" s="165">
        <f>M96*6</f>
        <v>18</v>
      </c>
      <c r="I98" s="172">
        <f>SUM(G98:H98)</f>
        <v>198</v>
      </c>
      <c r="J98" s="3">
        <f>SUM(D98:H98)</f>
        <v>352</v>
      </c>
      <c r="K98" s="172">
        <f>D96- J98</f>
        <v>0</v>
      </c>
      <c r="L98" s="3"/>
      <c r="M98" s="3"/>
      <c r="N98" s="3"/>
      <c r="O98" s="3"/>
    </row>
    <row r="99" spans="1:15">
      <c r="A99" s="3" t="s">
        <v>4</v>
      </c>
      <c r="B99" s="165">
        <f>F96</f>
        <v>50</v>
      </c>
      <c r="C99" s="165">
        <f>N96*E94/100</f>
        <v>532.46</v>
      </c>
      <c r="D99" s="165">
        <f>D100*(E96-I99)</f>
        <v>46.769999999999982</v>
      </c>
      <c r="E99" s="165">
        <f>E100*(E96-I99)</f>
        <v>28.061999999999987</v>
      </c>
      <c r="F99" s="165">
        <f>F100*(E96-I99)</f>
        <v>18.707999999999995</v>
      </c>
      <c r="G99" s="173">
        <f>L96</f>
        <v>45</v>
      </c>
      <c r="H99" s="165">
        <f>M96</f>
        <v>3</v>
      </c>
      <c r="I99" s="171">
        <f>SUM(B99:C99,G99:H99)</f>
        <v>630.46</v>
      </c>
      <c r="J99" s="3">
        <f>SUM(B99:H99)</f>
        <v>724</v>
      </c>
      <c r="K99" s="172">
        <f>E96-J99</f>
        <v>0</v>
      </c>
      <c r="L99" s="3"/>
      <c r="M99" s="3"/>
      <c r="N99" s="3"/>
      <c r="O99" s="3"/>
    </row>
    <row r="100" spans="1:15">
      <c r="A100" s="3"/>
      <c r="B100" s="3"/>
      <c r="C100" s="3"/>
      <c r="D100" s="167">
        <v>0.5</v>
      </c>
      <c r="E100" s="167">
        <v>0.3</v>
      </c>
      <c r="F100" s="167">
        <v>0.2</v>
      </c>
      <c r="G100" s="3"/>
      <c r="H100" s="3"/>
      <c r="I100" s="3"/>
      <c r="J100" s="3"/>
      <c r="K100" s="3"/>
      <c r="L100">
        <f>H96</f>
        <v>48.6</v>
      </c>
      <c r="M100" t="s">
        <v>264</v>
      </c>
      <c r="N100" s="3"/>
      <c r="O100" s="3"/>
    </row>
    <row r="101" spans="1:15">
      <c r="A101" s="168" t="s">
        <v>249</v>
      </c>
      <c r="B101" s="168">
        <f>100*F96/E96</f>
        <v>6.9060773480662982</v>
      </c>
      <c r="C101" s="168">
        <f>100*C99/E96</f>
        <v>73.54419889502762</v>
      </c>
      <c r="D101" s="168">
        <f>100*D99/E96</f>
        <v>6.4599447513812134</v>
      </c>
      <c r="E101" s="168">
        <f>100*E99/E96</f>
        <v>3.8759668508287279</v>
      </c>
      <c r="F101" s="168">
        <f>100*F99/E96</f>
        <v>2.5839779005524854</v>
      </c>
      <c r="G101" s="170">
        <f>100*L96/E96</f>
        <v>6.2154696132596685</v>
      </c>
      <c r="H101" s="170">
        <f>100*M96/E96</f>
        <v>0.4143646408839779</v>
      </c>
      <c r="I101" s="168"/>
      <c r="J101" s="168">
        <f>SUM(B101:H101)</f>
        <v>100</v>
      </c>
      <c r="K101" s="3"/>
      <c r="L101">
        <f>SUM(D102:H102)</f>
        <v>49.311878453038666</v>
      </c>
      <c r="M101" t="s">
        <v>261</v>
      </c>
      <c r="N101" s="3"/>
      <c r="O101" s="3"/>
    </row>
    <row r="102" spans="1:15">
      <c r="A102" s="3"/>
      <c r="B102" s="3"/>
      <c r="C102" s="3"/>
      <c r="D102" s="165">
        <f t="shared" ref="D102:G102" si="36">D101*D97</f>
        <v>6.4599447513812134</v>
      </c>
      <c r="E102" s="165">
        <f t="shared" si="36"/>
        <v>7.7519337016574559</v>
      </c>
      <c r="F102" s="165">
        <f t="shared" si="36"/>
        <v>7.7519337016574568</v>
      </c>
      <c r="G102" s="165">
        <f t="shared" si="36"/>
        <v>24.861878453038674</v>
      </c>
      <c r="H102" s="165">
        <f>H101*H97</f>
        <v>2.4861878453038675</v>
      </c>
      <c r="I102" s="165"/>
      <c r="O102" s="3"/>
    </row>
    <row r="103" spans="1:15" ht="15" thickBot="1">
      <c r="A103" s="176"/>
      <c r="B103" s="176" t="s">
        <v>267</v>
      </c>
      <c r="C103" s="176"/>
      <c r="D103" s="177"/>
      <c r="E103" s="178">
        <f>E105-F105</f>
        <v>1848</v>
      </c>
      <c r="F103" s="176"/>
      <c r="G103" s="176"/>
      <c r="H103" s="176"/>
      <c r="I103" s="176"/>
      <c r="J103" s="179"/>
      <c r="K103" s="179"/>
      <c r="L103" s="179">
        <f>L110</f>
        <v>37.476636700158636</v>
      </c>
      <c r="M103" s="179" t="s">
        <v>261</v>
      </c>
      <c r="N103" s="176"/>
      <c r="O103" s="179"/>
    </row>
    <row r="104" spans="1:15" s="142" customFormat="1" ht="15" thickBot="1">
      <c r="B104" s="143" t="s">
        <v>202</v>
      </c>
      <c r="C104" s="143" t="s">
        <v>203</v>
      </c>
      <c r="D104" s="143" t="s">
        <v>127</v>
      </c>
      <c r="E104" s="143" t="s">
        <v>217</v>
      </c>
      <c r="F104" s="143" t="s">
        <v>246</v>
      </c>
      <c r="G104" s="143" t="s">
        <v>129</v>
      </c>
      <c r="H104" s="143" t="s">
        <v>131</v>
      </c>
      <c r="I104" s="143" t="s">
        <v>128</v>
      </c>
      <c r="J104" s="143">
        <v>50</v>
      </c>
      <c r="K104" s="143">
        <v>100</v>
      </c>
      <c r="L104" s="143" t="s">
        <v>5</v>
      </c>
      <c r="M104" s="143" t="s">
        <v>6</v>
      </c>
      <c r="N104" s="143" t="s">
        <v>247</v>
      </c>
    </row>
    <row r="105" spans="1:15" s="142" customFormat="1" ht="15" thickBot="1">
      <c r="B105" s="144" t="s">
        <v>87</v>
      </c>
      <c r="C105" s="144">
        <v>50</v>
      </c>
      <c r="D105" s="144">
        <v>708</v>
      </c>
      <c r="E105" s="145">
        <v>1891</v>
      </c>
      <c r="F105" s="144">
        <v>43</v>
      </c>
      <c r="G105" s="144">
        <v>16.5</v>
      </c>
      <c r="H105" s="144">
        <v>37.4</v>
      </c>
      <c r="I105" s="144">
        <v>63</v>
      </c>
      <c r="J105" s="144">
        <v>2</v>
      </c>
      <c r="K105" s="144">
        <v>0</v>
      </c>
      <c r="L105" s="144">
        <v>73</v>
      </c>
      <c r="M105" s="144">
        <v>11</v>
      </c>
      <c r="N105" s="144">
        <v>81.900000000000006</v>
      </c>
    </row>
    <row r="106" spans="1:15">
      <c r="A106" s="3"/>
      <c r="B106" s="163" t="s">
        <v>35</v>
      </c>
      <c r="C106" s="163">
        <v>0</v>
      </c>
      <c r="D106" s="164">
        <v>1</v>
      </c>
      <c r="E106" s="164">
        <v>2</v>
      </c>
      <c r="F106" s="164">
        <v>3</v>
      </c>
      <c r="G106" s="163">
        <v>4</v>
      </c>
      <c r="H106" s="163">
        <v>6</v>
      </c>
      <c r="I106" s="163" t="s">
        <v>251</v>
      </c>
      <c r="J106" s="163" t="s">
        <v>87</v>
      </c>
      <c r="K106" s="163" t="s">
        <v>250</v>
      </c>
      <c r="L106" s="3"/>
      <c r="M106" s="3"/>
      <c r="N106" s="3"/>
      <c r="O106" s="3"/>
    </row>
    <row r="107" spans="1:15">
      <c r="A107" s="3" t="s">
        <v>3</v>
      </c>
      <c r="B107" s="165"/>
      <c r="C107" s="165"/>
      <c r="D107" s="165">
        <f>D109*(D105-I107)</f>
        <v>244.99999999999997</v>
      </c>
      <c r="E107" s="165">
        <f>E109*(D105-I107)</f>
        <v>70</v>
      </c>
      <c r="F107" s="165">
        <f>F109*(D105-I107)</f>
        <v>35</v>
      </c>
      <c r="G107" s="165">
        <f>L105*4</f>
        <v>292</v>
      </c>
      <c r="H107" s="165">
        <f>M105*6</f>
        <v>66</v>
      </c>
      <c r="I107" s="172">
        <f>SUM(G107:H107)</f>
        <v>358</v>
      </c>
      <c r="J107" s="3">
        <f>SUM(D107:H107)</f>
        <v>708</v>
      </c>
      <c r="K107" s="172">
        <f>D105- J107</f>
        <v>0</v>
      </c>
      <c r="L107" s="3"/>
      <c r="M107" s="3"/>
      <c r="N107" s="3"/>
      <c r="O107" s="3"/>
    </row>
    <row r="108" spans="1:15">
      <c r="A108" s="3" t="s">
        <v>4</v>
      </c>
      <c r="B108" s="165">
        <f>F105</f>
        <v>43</v>
      </c>
      <c r="C108" s="165">
        <f>N105*E103/100</f>
        <v>1513.5120000000002</v>
      </c>
      <c r="D108" s="165">
        <f>D109*(E105-I108)</f>
        <v>175.34159999999986</v>
      </c>
      <c r="E108" s="165">
        <f>E109*(E105-I108)</f>
        <v>50.097599999999971</v>
      </c>
      <c r="F108" s="165">
        <f>F109*(E105-I108)</f>
        <v>25.048799999999986</v>
      </c>
      <c r="G108" s="173">
        <f>L105</f>
        <v>73</v>
      </c>
      <c r="H108" s="165">
        <f>M105</f>
        <v>11</v>
      </c>
      <c r="I108" s="171">
        <f>SUM(B108:C108,G108:H108)</f>
        <v>1640.5120000000002</v>
      </c>
      <c r="J108" s="3">
        <f>SUM(B108:H108)</f>
        <v>1891</v>
      </c>
      <c r="K108" s="172">
        <f>E105-J108</f>
        <v>0</v>
      </c>
      <c r="L108" s="3"/>
      <c r="M108" s="3"/>
      <c r="N108" s="3"/>
      <c r="O108" s="3"/>
    </row>
    <row r="109" spans="1:15">
      <c r="A109" s="3"/>
      <c r="B109" s="3"/>
      <c r="C109" s="3"/>
      <c r="D109" s="167">
        <v>0.7</v>
      </c>
      <c r="E109" s="167">
        <v>0.2</v>
      </c>
      <c r="F109" s="167">
        <v>0.1</v>
      </c>
      <c r="G109" s="3"/>
      <c r="H109" s="3"/>
      <c r="I109" s="3"/>
      <c r="J109" s="3"/>
      <c r="K109" s="3"/>
      <c r="L109">
        <f>H105</f>
        <v>37.4</v>
      </c>
      <c r="M109" t="s">
        <v>264</v>
      </c>
      <c r="N109" s="3"/>
      <c r="O109" s="3"/>
    </row>
    <row r="110" spans="1:15">
      <c r="A110" s="168" t="s">
        <v>249</v>
      </c>
      <c r="B110" s="168">
        <f>100*F105/E105</f>
        <v>2.2739291380222104</v>
      </c>
      <c r="C110" s="168">
        <f>100*C108/E105</f>
        <v>80.037652035959809</v>
      </c>
      <c r="D110" s="168">
        <f>100*D108/E105</f>
        <v>9.2724272871496485</v>
      </c>
      <c r="E110" s="168">
        <f>100*E108/E105</f>
        <v>2.6492649391856147</v>
      </c>
      <c r="F110" s="168">
        <f>100*F108/E105</f>
        <v>1.3246324695928073</v>
      </c>
      <c r="G110" s="170">
        <f>100*L105/E105</f>
        <v>3.8603913273400319</v>
      </c>
      <c r="H110" s="170">
        <f>100*M105/E105</f>
        <v>0.58170280274986774</v>
      </c>
      <c r="I110" s="168"/>
      <c r="J110" s="168">
        <f>SUM(B110:H110)</f>
        <v>100</v>
      </c>
      <c r="K110" s="3"/>
      <c r="L110">
        <f>SUM(D111:H111)</f>
        <v>37.476636700158636</v>
      </c>
      <c r="M110" t="s">
        <v>261</v>
      </c>
      <c r="N110" s="3"/>
      <c r="O110" s="3"/>
    </row>
    <row r="111" spans="1:15">
      <c r="A111" s="3"/>
      <c r="B111" s="3"/>
      <c r="C111" s="3"/>
      <c r="D111" s="165">
        <f t="shared" ref="D111:G111" si="37">D110*D106</f>
        <v>9.2724272871496485</v>
      </c>
      <c r="E111" s="165">
        <f t="shared" si="37"/>
        <v>5.2985298783712294</v>
      </c>
      <c r="F111" s="165">
        <f t="shared" si="37"/>
        <v>3.9738974087784218</v>
      </c>
      <c r="G111" s="165">
        <f t="shared" si="37"/>
        <v>15.441565309360128</v>
      </c>
      <c r="H111" s="165">
        <f>H110*H106</f>
        <v>3.4902168164992062</v>
      </c>
      <c r="I111" s="165"/>
      <c r="O111" s="3"/>
    </row>
  </sheetData>
  <mergeCells count="2">
    <mergeCell ref="R25:R28"/>
    <mergeCell ref="R30:R33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BB9FD-BFD3-476D-8EBE-03142EA5B843}">
  <sheetPr codeName="Sheet3"/>
  <dimension ref="A1:V106"/>
  <sheetViews>
    <sheetView topLeftCell="A77" workbookViewId="0">
      <selection activeCell="K95" sqref="K95"/>
    </sheetView>
  </sheetViews>
  <sheetFormatPr defaultRowHeight="14.4"/>
  <cols>
    <col min="1" max="1" width="17.88671875" bestFit="1" customWidth="1"/>
    <col min="2" max="2" width="8.6640625" customWidth="1"/>
    <col min="19" max="22" width="6.44140625" customWidth="1"/>
  </cols>
  <sheetData>
    <row r="1" spans="1:22">
      <c r="A1" s="2" t="s">
        <v>218</v>
      </c>
      <c r="B1" s="2"/>
      <c r="S1" s="216" t="s">
        <v>270</v>
      </c>
      <c r="T1" s="216" t="s">
        <v>271</v>
      </c>
      <c r="U1" s="216" t="s">
        <v>272</v>
      </c>
      <c r="V1" s="216" t="s">
        <v>273</v>
      </c>
    </row>
    <row r="2" spans="1:22">
      <c r="A2" s="2"/>
      <c r="B2" s="2"/>
      <c r="S2" s="216"/>
      <c r="T2" s="216"/>
      <c r="U2" s="216"/>
      <c r="V2" s="216"/>
    </row>
    <row r="3" spans="1:22">
      <c r="A3" s="2" t="s">
        <v>199</v>
      </c>
      <c r="B3" s="2"/>
      <c r="S3" s="7"/>
      <c r="T3" s="7"/>
      <c r="U3" s="7" t="s">
        <v>268</v>
      </c>
      <c r="V3" s="7" t="s">
        <v>269</v>
      </c>
    </row>
    <row r="4" spans="1:22">
      <c r="A4" s="217" t="s">
        <v>180</v>
      </c>
      <c r="B4" s="217"/>
      <c r="S4" s="7">
        <v>1</v>
      </c>
      <c r="T4" s="7">
        <v>2</v>
      </c>
      <c r="U4" s="7">
        <v>2</v>
      </c>
      <c r="V4" s="7"/>
    </row>
    <row r="5" spans="1:22">
      <c r="A5" s="125" t="s">
        <v>181</v>
      </c>
      <c r="B5" s="127">
        <v>1889.4</v>
      </c>
      <c r="S5" s="7">
        <v>2</v>
      </c>
      <c r="T5" s="7">
        <v>4</v>
      </c>
      <c r="U5" s="7">
        <v>2</v>
      </c>
      <c r="V5" s="7"/>
    </row>
    <row r="6" spans="1:22">
      <c r="A6" s="125" t="s">
        <v>182</v>
      </c>
      <c r="B6" s="127">
        <v>11338</v>
      </c>
      <c r="D6" t="s">
        <v>148</v>
      </c>
      <c r="E6">
        <f>B17</f>
        <v>59.99</v>
      </c>
      <c r="F6" t="s">
        <v>4</v>
      </c>
      <c r="S6" s="7">
        <v>3</v>
      </c>
      <c r="T6" s="7">
        <v>6</v>
      </c>
      <c r="U6" s="7">
        <v>2</v>
      </c>
      <c r="V6" s="7"/>
    </row>
    <row r="7" spans="1:22">
      <c r="A7" s="125" t="s">
        <v>183</v>
      </c>
      <c r="B7" s="127">
        <v>275</v>
      </c>
      <c r="E7" s="133">
        <f>1/E6</f>
        <v>1.6669444907484579E-2</v>
      </c>
      <c r="F7" t="s">
        <v>194</v>
      </c>
      <c r="P7" t="s">
        <v>197</v>
      </c>
      <c r="S7" s="7">
        <v>4</v>
      </c>
      <c r="T7" s="7">
        <v>8</v>
      </c>
      <c r="U7" s="7">
        <v>2</v>
      </c>
      <c r="V7" s="7"/>
    </row>
    <row r="8" spans="1:22">
      <c r="A8" s="125" t="s">
        <v>184</v>
      </c>
      <c r="B8" s="127">
        <v>6850</v>
      </c>
      <c r="P8" s="136">
        <f>E7</f>
        <v>1.6669444907484579E-2</v>
      </c>
      <c r="Q8" t="s">
        <v>10</v>
      </c>
      <c r="S8" s="7">
        <v>5</v>
      </c>
      <c r="T8" s="7">
        <v>10</v>
      </c>
      <c r="U8" s="7">
        <v>2</v>
      </c>
      <c r="V8" s="7"/>
    </row>
    <row r="9" spans="1:22">
      <c r="A9" s="125" t="s">
        <v>185</v>
      </c>
      <c r="B9" s="126">
        <v>189</v>
      </c>
      <c r="D9" t="s">
        <v>11</v>
      </c>
      <c r="E9">
        <f>6-J9</f>
        <v>2.38</v>
      </c>
      <c r="F9" s="134" t="s">
        <v>195</v>
      </c>
      <c r="G9" s="135">
        <f>E9/6</f>
        <v>0.39666666666666667</v>
      </c>
      <c r="J9">
        <f>B16</f>
        <v>3.62</v>
      </c>
      <c r="K9" s="134" t="s">
        <v>3</v>
      </c>
      <c r="L9" s="135">
        <f>J9/6</f>
        <v>0.60333333333333339</v>
      </c>
      <c r="P9" s="136">
        <f>G9</f>
        <v>0.39666666666666667</v>
      </c>
      <c r="Q9" t="s">
        <v>198</v>
      </c>
      <c r="S9" s="7">
        <v>6</v>
      </c>
      <c r="T9" s="7">
        <v>13</v>
      </c>
      <c r="U9" s="7">
        <v>3</v>
      </c>
      <c r="V9" s="7">
        <v>-1</v>
      </c>
    </row>
    <row r="10" spans="1:22">
      <c r="A10" s="125" t="s">
        <v>164</v>
      </c>
      <c r="B10" s="127">
        <v>36.24</v>
      </c>
      <c r="I10" t="s">
        <v>196</v>
      </c>
      <c r="J10">
        <f>B10</f>
        <v>36.24</v>
      </c>
      <c r="P10" s="136">
        <f>L9</f>
        <v>0.60333333333333339</v>
      </c>
      <c r="Q10" t="s">
        <v>3</v>
      </c>
      <c r="S10" s="7">
        <v>7</v>
      </c>
      <c r="T10" s="7">
        <v>16</v>
      </c>
      <c r="U10" s="7">
        <v>3</v>
      </c>
      <c r="V10" s="7"/>
    </row>
    <row r="11" spans="1:22">
      <c r="A11" s="125" t="s">
        <v>186</v>
      </c>
      <c r="B11" s="126">
        <v>5</v>
      </c>
      <c r="S11" s="7">
        <v>8</v>
      </c>
      <c r="T11" s="7">
        <v>19</v>
      </c>
      <c r="U11" s="7">
        <v>3</v>
      </c>
      <c r="V11" s="7"/>
    </row>
    <row r="12" spans="1:22">
      <c r="A12" s="125" t="s">
        <v>187</v>
      </c>
      <c r="B12" s="127">
        <v>1</v>
      </c>
      <c r="D12" s="5"/>
      <c r="E12" s="131" t="s">
        <v>135</v>
      </c>
      <c r="F12" s="131">
        <v>0</v>
      </c>
      <c r="G12" s="131"/>
      <c r="H12" s="131">
        <v>1</v>
      </c>
      <c r="I12" s="131">
        <v>2</v>
      </c>
      <c r="J12" s="131">
        <v>3</v>
      </c>
      <c r="K12" s="131">
        <v>4</v>
      </c>
      <c r="L12" s="131">
        <v>6</v>
      </c>
      <c r="S12" s="7">
        <v>9</v>
      </c>
      <c r="T12" s="7">
        <v>22</v>
      </c>
      <c r="U12" s="7">
        <v>3</v>
      </c>
      <c r="V12" s="7"/>
    </row>
    <row r="13" spans="1:22">
      <c r="A13" s="125" t="s">
        <v>188</v>
      </c>
      <c r="B13" s="151">
        <v>19511</v>
      </c>
      <c r="E13" s="132">
        <f>E7</f>
        <v>1.6669444907484579E-2</v>
      </c>
      <c r="F13" s="132">
        <f>G9-E7</f>
        <v>0.3799972217591821</v>
      </c>
      <c r="G13" s="128"/>
      <c r="H13" s="128">
        <v>9</v>
      </c>
      <c r="I13" s="128">
        <v>4</v>
      </c>
      <c r="J13" s="128">
        <v>1</v>
      </c>
      <c r="K13" s="128">
        <v>12</v>
      </c>
      <c r="L13" s="128">
        <v>3</v>
      </c>
      <c r="P13">
        <f>B10*E7</f>
        <v>0.60410068344724122</v>
      </c>
      <c r="Q13" t="s">
        <v>201</v>
      </c>
      <c r="S13" s="7">
        <v>10</v>
      </c>
      <c r="T13" s="7">
        <v>25</v>
      </c>
      <c r="U13" s="7">
        <v>3</v>
      </c>
      <c r="V13" s="7"/>
    </row>
    <row r="14" spans="1:22">
      <c r="A14" s="125" t="s">
        <v>189</v>
      </c>
      <c r="B14" s="126" t="s">
        <v>200</v>
      </c>
      <c r="H14">
        <f>H12*H13</f>
        <v>9</v>
      </c>
      <c r="I14">
        <f>I12*I13</f>
        <v>8</v>
      </c>
      <c r="J14">
        <f>J12*J13</f>
        <v>3</v>
      </c>
      <c r="K14">
        <f>K12*K13</f>
        <v>48</v>
      </c>
      <c r="L14">
        <v>2</v>
      </c>
      <c r="M14">
        <f>SUM(H14:L14)</f>
        <v>70</v>
      </c>
      <c r="S14" s="7">
        <v>11</v>
      </c>
      <c r="T14" s="7">
        <v>29</v>
      </c>
      <c r="U14" s="7">
        <v>4</v>
      </c>
      <c r="V14" s="7">
        <v>-2</v>
      </c>
    </row>
    <row r="15" spans="1:22">
      <c r="A15" s="125" t="s">
        <v>191</v>
      </c>
      <c r="B15" s="127">
        <v>2</v>
      </c>
      <c r="S15" s="7">
        <v>12</v>
      </c>
      <c r="T15" s="7">
        <v>33</v>
      </c>
      <c r="U15" s="7">
        <v>4</v>
      </c>
      <c r="V15" s="7"/>
    </row>
    <row r="16" spans="1:22">
      <c r="A16" s="125" t="s">
        <v>192</v>
      </c>
      <c r="B16" s="127">
        <v>3.62</v>
      </c>
      <c r="S16" s="7">
        <v>13</v>
      </c>
      <c r="T16" s="7">
        <v>37</v>
      </c>
      <c r="U16" s="7">
        <v>4</v>
      </c>
      <c r="V16" s="7"/>
    </row>
    <row r="17" spans="1:22">
      <c r="A17" s="125" t="s">
        <v>193</v>
      </c>
      <c r="B17" s="127">
        <v>59.99</v>
      </c>
      <c r="D17" t="s">
        <v>219</v>
      </c>
      <c r="S17" s="7">
        <v>14</v>
      </c>
      <c r="T17" s="7">
        <v>41</v>
      </c>
      <c r="U17" s="7">
        <v>4</v>
      </c>
      <c r="V17" s="7"/>
    </row>
    <row r="18" spans="1:22">
      <c r="D18">
        <f>100/B17</f>
        <v>1.6669444907484581</v>
      </c>
      <c r="S18" s="7">
        <v>15</v>
      </c>
      <c r="T18" s="7">
        <v>45</v>
      </c>
      <c r="U18" s="7">
        <v>4</v>
      </c>
      <c r="V18" s="7"/>
    </row>
    <row r="19" spans="1:22">
      <c r="C19" s="134" t="s">
        <v>220</v>
      </c>
      <c r="D19">
        <f>100* B8/B6</f>
        <v>60.416299170929619</v>
      </c>
      <c r="S19" s="7">
        <v>16</v>
      </c>
      <c r="T19" s="7">
        <v>50</v>
      </c>
      <c r="U19" s="7">
        <v>5</v>
      </c>
      <c r="V19" s="7">
        <v>-3</v>
      </c>
    </row>
    <row r="20" spans="1:22">
      <c r="C20" s="134" t="s">
        <v>221</v>
      </c>
      <c r="E20" t="s">
        <v>222</v>
      </c>
      <c r="I20" t="s">
        <v>223</v>
      </c>
      <c r="S20" s="7">
        <v>17</v>
      </c>
      <c r="T20" s="7">
        <v>55</v>
      </c>
      <c r="U20" s="7">
        <v>5</v>
      </c>
      <c r="V20" s="7"/>
    </row>
    <row r="21" spans="1:22">
      <c r="S21" s="7">
        <v>18</v>
      </c>
      <c r="T21" s="7">
        <v>60</v>
      </c>
      <c r="U21" s="7">
        <v>5</v>
      </c>
      <c r="V21" s="7"/>
    </row>
    <row r="22" spans="1:22">
      <c r="S22" s="7">
        <v>19</v>
      </c>
      <c r="T22" s="7">
        <v>65</v>
      </c>
      <c r="U22" s="7">
        <v>5</v>
      </c>
      <c r="V22" s="7"/>
    </row>
    <row r="23" spans="1:22">
      <c r="S23" s="7">
        <v>20</v>
      </c>
      <c r="T23" s="7">
        <v>70</v>
      </c>
      <c r="U23" s="7">
        <v>5</v>
      </c>
      <c r="V23" s="7"/>
    </row>
    <row r="24" spans="1:22">
      <c r="A24" s="2"/>
      <c r="B24" s="2"/>
      <c r="S24" s="7"/>
      <c r="T24" s="7"/>
      <c r="U24" s="7"/>
      <c r="V24" s="7"/>
    </row>
    <row r="25" spans="1:22">
      <c r="A25" s="125" t="s">
        <v>94</v>
      </c>
      <c r="B25" s="2"/>
    </row>
    <row r="26" spans="1:22">
      <c r="A26" s="218" t="s">
        <v>180</v>
      </c>
      <c r="B26" s="218"/>
    </row>
    <row r="27" spans="1:22">
      <c r="A27" s="125" t="s">
        <v>181</v>
      </c>
      <c r="B27" s="122">
        <v>2704</v>
      </c>
    </row>
    <row r="28" spans="1:22">
      <c r="A28" s="125" t="s">
        <v>182</v>
      </c>
      <c r="B28" s="122">
        <v>16224</v>
      </c>
      <c r="D28" t="s">
        <v>148</v>
      </c>
      <c r="E28">
        <f>B39</f>
        <v>43.5</v>
      </c>
      <c r="F28" t="s">
        <v>4</v>
      </c>
    </row>
    <row r="29" spans="1:22">
      <c r="A29" s="125" t="s">
        <v>183</v>
      </c>
      <c r="B29" s="122">
        <v>516</v>
      </c>
      <c r="E29" s="133">
        <f>1/E28</f>
        <v>2.2988505747126436E-2</v>
      </c>
      <c r="F29" t="s">
        <v>194</v>
      </c>
      <c r="P29" t="s">
        <v>197</v>
      </c>
    </row>
    <row r="30" spans="1:22">
      <c r="A30" s="125" t="s">
        <v>184</v>
      </c>
      <c r="B30" s="122">
        <v>8788</v>
      </c>
      <c r="P30">
        <v>2.2999999999999998</v>
      </c>
      <c r="Q30" t="s">
        <v>10</v>
      </c>
    </row>
    <row r="31" spans="1:22">
      <c r="A31" s="125" t="s">
        <v>185</v>
      </c>
      <c r="B31" s="121">
        <v>373</v>
      </c>
      <c r="D31" t="s">
        <v>11</v>
      </c>
      <c r="E31">
        <f>6-J31</f>
        <v>2.75</v>
      </c>
      <c r="F31" s="152" t="s">
        <v>195</v>
      </c>
      <c r="G31" s="153">
        <f>E31/6</f>
        <v>0.45833333333333331</v>
      </c>
      <c r="J31">
        <f>B38</f>
        <v>3.25</v>
      </c>
      <c r="K31" s="134" t="s">
        <v>3</v>
      </c>
      <c r="L31" s="135">
        <f>J31/6</f>
        <v>0.54166666666666663</v>
      </c>
      <c r="P31">
        <v>45.8</v>
      </c>
      <c r="Q31" t="s">
        <v>198</v>
      </c>
      <c r="R31" t="s">
        <v>224</v>
      </c>
    </row>
    <row r="32" spans="1:22">
      <c r="A32" s="125" t="s">
        <v>164</v>
      </c>
      <c r="B32" s="122">
        <v>23.56</v>
      </c>
      <c r="I32" t="s">
        <v>196</v>
      </c>
      <c r="J32">
        <f>B32</f>
        <v>23.56</v>
      </c>
      <c r="P32">
        <v>54.2</v>
      </c>
      <c r="Q32" t="s">
        <v>3</v>
      </c>
    </row>
    <row r="33" spans="1:17">
      <c r="A33" s="125" t="s">
        <v>186</v>
      </c>
      <c r="B33" s="121">
        <v>22</v>
      </c>
    </row>
    <row r="34" spans="1:17">
      <c r="A34" s="125" t="s">
        <v>187</v>
      </c>
      <c r="B34" s="122">
        <v>5</v>
      </c>
      <c r="D34" s="5"/>
      <c r="E34" s="131" t="s">
        <v>135</v>
      </c>
      <c r="F34" s="131">
        <v>0</v>
      </c>
      <c r="G34" s="131"/>
      <c r="H34" s="131">
        <v>1</v>
      </c>
      <c r="I34" s="131">
        <v>2</v>
      </c>
      <c r="J34" s="131">
        <v>3</v>
      </c>
      <c r="K34" s="131">
        <v>4</v>
      </c>
      <c r="L34" s="131">
        <v>6</v>
      </c>
    </row>
    <row r="35" spans="1:17">
      <c r="A35" s="125" t="s">
        <v>188</v>
      </c>
      <c r="B35" s="130">
        <v>27942</v>
      </c>
      <c r="E35" s="132">
        <f>E29</f>
        <v>2.2988505747126436E-2</v>
      </c>
      <c r="F35" s="132">
        <f>G31-E29</f>
        <v>0.43534482758620685</v>
      </c>
      <c r="G35" s="128"/>
      <c r="H35" s="128"/>
      <c r="I35" s="128"/>
      <c r="J35" s="128"/>
      <c r="K35" s="128"/>
      <c r="L35" s="128"/>
    </row>
    <row r="36" spans="1:17">
      <c r="A36" s="125" t="s">
        <v>189</v>
      </c>
      <c r="B36" s="121" t="s">
        <v>190</v>
      </c>
      <c r="H36">
        <f>H34*H35</f>
        <v>0</v>
      </c>
      <c r="I36">
        <f>I34*I35</f>
        <v>0</v>
      </c>
      <c r="J36">
        <f>J34*J35</f>
        <v>0</v>
      </c>
      <c r="K36">
        <f>K34*K35</f>
        <v>0</v>
      </c>
      <c r="L36">
        <f>L34*L35</f>
        <v>0</v>
      </c>
    </row>
    <row r="37" spans="1:17">
      <c r="A37" s="125" t="s">
        <v>191</v>
      </c>
      <c r="B37" s="122">
        <v>0</v>
      </c>
    </row>
    <row r="38" spans="1:17">
      <c r="A38" s="125" t="s">
        <v>192</v>
      </c>
      <c r="B38" s="122">
        <v>3.25</v>
      </c>
    </row>
    <row r="39" spans="1:17">
      <c r="A39" s="125" t="s">
        <v>193</v>
      </c>
      <c r="B39" s="122">
        <v>43.5</v>
      </c>
    </row>
    <row r="40" spans="1:17">
      <c r="A40" s="2"/>
      <c r="B40" s="2"/>
    </row>
    <row r="41" spans="1:17">
      <c r="A41" s="2"/>
      <c r="B41" s="2"/>
    </row>
    <row r="42" spans="1:17">
      <c r="A42" s="2"/>
      <c r="B42" s="2"/>
    </row>
    <row r="43" spans="1:17">
      <c r="A43" s="2" t="s">
        <v>199</v>
      </c>
      <c r="B43" s="2"/>
    </row>
    <row r="44" spans="1:17">
      <c r="A44" s="218" t="s">
        <v>180</v>
      </c>
      <c r="B44" s="218"/>
    </row>
    <row r="45" spans="1:17">
      <c r="A45" s="120" t="s">
        <v>181</v>
      </c>
      <c r="B45" s="122">
        <v>1889.4</v>
      </c>
    </row>
    <row r="46" spans="1:17">
      <c r="A46" s="120" t="s">
        <v>182</v>
      </c>
      <c r="B46" s="122">
        <v>11338</v>
      </c>
      <c r="D46" t="s">
        <v>148</v>
      </c>
      <c r="E46">
        <f>B57</f>
        <v>59.99</v>
      </c>
      <c r="F46" t="s">
        <v>4</v>
      </c>
    </row>
    <row r="47" spans="1:17">
      <c r="A47" s="120" t="s">
        <v>183</v>
      </c>
      <c r="B47" s="122">
        <v>275</v>
      </c>
      <c r="E47" s="133">
        <f>1/E46</f>
        <v>1.6669444907484579E-2</v>
      </c>
      <c r="F47" t="s">
        <v>194</v>
      </c>
      <c r="P47" t="s">
        <v>197</v>
      </c>
    </row>
    <row r="48" spans="1:17">
      <c r="A48" s="120" t="s">
        <v>184</v>
      </c>
      <c r="B48" s="122">
        <v>6850</v>
      </c>
      <c r="P48" s="136">
        <f>E47</f>
        <v>1.6669444907484579E-2</v>
      </c>
      <c r="Q48" t="s">
        <v>10</v>
      </c>
    </row>
    <row r="49" spans="1:22">
      <c r="A49" s="120" t="s">
        <v>185</v>
      </c>
      <c r="B49" s="121">
        <v>189</v>
      </c>
      <c r="D49" t="s">
        <v>11</v>
      </c>
      <c r="E49">
        <f>6-J49</f>
        <v>2.38</v>
      </c>
      <c r="F49" s="134" t="s">
        <v>195</v>
      </c>
      <c r="G49" s="135">
        <f>E49/6</f>
        <v>0.39666666666666667</v>
      </c>
      <c r="J49">
        <f>B56</f>
        <v>3.62</v>
      </c>
      <c r="K49" s="134" t="s">
        <v>3</v>
      </c>
      <c r="L49" s="135">
        <f>J49/6</f>
        <v>0.60333333333333339</v>
      </c>
      <c r="P49" s="136">
        <f>G49</f>
        <v>0.39666666666666667</v>
      </c>
      <c r="Q49" t="s">
        <v>198</v>
      </c>
    </row>
    <row r="50" spans="1:22">
      <c r="A50" s="120" t="s">
        <v>164</v>
      </c>
      <c r="B50" s="122">
        <v>36.24</v>
      </c>
      <c r="I50" t="s">
        <v>196</v>
      </c>
      <c r="J50">
        <f>B50</f>
        <v>36.24</v>
      </c>
      <c r="P50" s="136">
        <f>L49</f>
        <v>0.60333333333333339</v>
      </c>
      <c r="Q50" t="s">
        <v>3</v>
      </c>
    </row>
    <row r="51" spans="1:22">
      <c r="A51" s="120" t="s">
        <v>186</v>
      </c>
      <c r="B51" s="121">
        <v>5</v>
      </c>
    </row>
    <row r="52" spans="1:22">
      <c r="A52" s="120" t="s">
        <v>187</v>
      </c>
      <c r="B52" s="122">
        <v>1</v>
      </c>
      <c r="D52" s="5"/>
      <c r="E52" s="131" t="s">
        <v>135</v>
      </c>
      <c r="F52" s="131">
        <v>0</v>
      </c>
      <c r="G52" s="131"/>
      <c r="H52" s="131">
        <v>1</v>
      </c>
      <c r="I52" s="131">
        <v>2</v>
      </c>
      <c r="J52" s="131">
        <v>3</v>
      </c>
      <c r="K52" s="131">
        <v>4</v>
      </c>
      <c r="L52" s="131">
        <v>6</v>
      </c>
    </row>
    <row r="53" spans="1:22">
      <c r="A53" s="120" t="s">
        <v>188</v>
      </c>
      <c r="B53" s="130">
        <v>19511</v>
      </c>
      <c r="E53" s="132">
        <f>E47</f>
        <v>1.6669444907484579E-2</v>
      </c>
      <c r="F53" s="132">
        <f>G49-E47</f>
        <v>0.3799972217591821</v>
      </c>
      <c r="G53" s="128"/>
      <c r="H53" s="128">
        <v>9</v>
      </c>
      <c r="I53" s="128">
        <v>4</v>
      </c>
      <c r="J53" s="128">
        <v>1</v>
      </c>
      <c r="K53" s="128">
        <v>12</v>
      </c>
      <c r="L53" s="128">
        <v>3</v>
      </c>
      <c r="P53">
        <f>B50*E47</f>
        <v>0.60410068344724122</v>
      </c>
      <c r="Q53" t="s">
        <v>201</v>
      </c>
    </row>
    <row r="54" spans="1:22">
      <c r="A54" s="120" t="s">
        <v>189</v>
      </c>
      <c r="B54" s="121" t="s">
        <v>200</v>
      </c>
      <c r="H54">
        <f>H52*H53</f>
        <v>9</v>
      </c>
      <c r="I54">
        <f>I52*I53</f>
        <v>8</v>
      </c>
      <c r="J54">
        <f>J52*J53</f>
        <v>3</v>
      </c>
      <c r="K54">
        <f>K52*K53</f>
        <v>48</v>
      </c>
      <c r="L54">
        <v>2</v>
      </c>
      <c r="M54">
        <f>SUM(H54:L54)</f>
        <v>70</v>
      </c>
    </row>
    <row r="55" spans="1:22">
      <c r="A55" s="120" t="s">
        <v>191</v>
      </c>
      <c r="B55" s="122">
        <v>2</v>
      </c>
    </row>
    <row r="56" spans="1:22">
      <c r="A56" s="120" t="s">
        <v>192</v>
      </c>
      <c r="B56" s="122">
        <v>3.62</v>
      </c>
    </row>
    <row r="57" spans="1:22" ht="15" thickBot="1">
      <c r="A57" s="120" t="s">
        <v>193</v>
      </c>
      <c r="B57" s="122">
        <v>59.99</v>
      </c>
    </row>
    <row r="58" spans="1:22" ht="15" thickBot="1">
      <c r="A58" s="99"/>
      <c r="B58" s="99"/>
      <c r="C58" s="99"/>
      <c r="D58" s="146" t="s">
        <v>202</v>
      </c>
      <c r="E58" s="146" t="s">
        <v>203</v>
      </c>
      <c r="F58" s="146" t="s">
        <v>204</v>
      </c>
      <c r="G58" s="146" t="s">
        <v>127</v>
      </c>
      <c r="H58" s="146" t="s">
        <v>205</v>
      </c>
      <c r="I58" s="146" t="s">
        <v>206</v>
      </c>
      <c r="J58" s="146" t="s">
        <v>129</v>
      </c>
      <c r="K58" s="146" t="s">
        <v>131</v>
      </c>
      <c r="L58" s="146" t="s">
        <v>207</v>
      </c>
      <c r="M58" s="146" t="s">
        <v>208</v>
      </c>
      <c r="N58" s="146" t="s">
        <v>5</v>
      </c>
      <c r="O58" s="146" t="s">
        <v>6</v>
      </c>
      <c r="P58" s="146" t="s">
        <v>209</v>
      </c>
      <c r="Q58" s="99"/>
      <c r="R58" s="99"/>
      <c r="S58" s="99"/>
      <c r="T58" s="99"/>
      <c r="U58" s="99"/>
      <c r="V58" s="99"/>
    </row>
    <row r="59" spans="1:22" ht="15" thickBot="1">
      <c r="A59" s="99"/>
      <c r="B59" s="99"/>
      <c r="C59" s="99"/>
      <c r="D59" t="s">
        <v>226</v>
      </c>
      <c r="E59" s="147">
        <v>107</v>
      </c>
      <c r="F59" s="147">
        <v>1889.4</v>
      </c>
      <c r="G59" s="148">
        <v>6850</v>
      </c>
      <c r="H59" s="147">
        <v>189</v>
      </c>
      <c r="I59" s="147">
        <v>3.62</v>
      </c>
      <c r="J59" s="147">
        <v>36.200000000000003</v>
      </c>
      <c r="K59" s="147">
        <v>60</v>
      </c>
      <c r="L59" s="147">
        <v>5</v>
      </c>
      <c r="M59" s="149">
        <v>19511</v>
      </c>
      <c r="N59" s="147">
        <v>717</v>
      </c>
      <c r="O59" s="147">
        <v>119</v>
      </c>
      <c r="P59" s="147">
        <v>69.599999999999994</v>
      </c>
      <c r="Q59" s="99"/>
      <c r="R59" s="99"/>
      <c r="S59" s="99"/>
      <c r="T59" s="99"/>
      <c r="U59" s="99"/>
      <c r="V59" s="99"/>
    </row>
    <row r="60" spans="1:22">
      <c r="A60" s="2"/>
      <c r="B60" s="2"/>
      <c r="F60" t="s">
        <v>217</v>
      </c>
      <c r="N60">
        <f>4*N59</f>
        <v>2868</v>
      </c>
      <c r="O60">
        <f>6*O59</f>
        <v>714</v>
      </c>
      <c r="V60" s="101">
        <f>E47*J50</f>
        <v>0.60410068344724122</v>
      </c>
    </row>
    <row r="61" spans="1:22">
      <c r="A61" s="2"/>
      <c r="B61" s="2"/>
      <c r="F61">
        <f>(INT(F59)*6)+(10*(MOD(F59,1)))</f>
        <v>11338</v>
      </c>
      <c r="I61" t="s">
        <v>35</v>
      </c>
      <c r="J61">
        <v>0</v>
      </c>
      <c r="K61">
        <v>1</v>
      </c>
      <c r="L61">
        <v>2</v>
      </c>
      <c r="M61">
        <v>3</v>
      </c>
      <c r="N61">
        <v>4</v>
      </c>
      <c r="O61">
        <v>6</v>
      </c>
    </row>
    <row r="62" spans="1:22">
      <c r="A62" s="2"/>
      <c r="B62" s="2"/>
      <c r="K62" s="102"/>
      <c r="L62" s="102"/>
      <c r="M62" s="150"/>
      <c r="N62" s="111"/>
      <c r="O62" s="111"/>
    </row>
    <row r="63" spans="1:22">
      <c r="A63" s="2"/>
      <c r="B63" s="2"/>
      <c r="H63" t="s">
        <v>212</v>
      </c>
      <c r="I63" t="s">
        <v>214</v>
      </c>
      <c r="J63" t="s">
        <v>213</v>
      </c>
      <c r="K63" s="220">
        <f>100-P59</f>
        <v>30.400000000000006</v>
      </c>
      <c r="L63" s="220"/>
      <c r="M63" s="220"/>
      <c r="N63" s="220"/>
      <c r="O63" s="220"/>
      <c r="P63" t="s">
        <v>215</v>
      </c>
      <c r="Q63" t="s">
        <v>216</v>
      </c>
      <c r="R63">
        <f>ROUND((100/K59)*J59,0)</f>
        <v>60</v>
      </c>
    </row>
    <row r="64" spans="1:22">
      <c r="A64" s="2"/>
      <c r="B64" s="2"/>
      <c r="I64" s="111">
        <f>1/K59</f>
        <v>1.6666666666666666E-2</v>
      </c>
      <c r="J64" s="111">
        <f>P59/100</f>
        <v>0.69599999999999995</v>
      </c>
      <c r="K64" s="111">
        <f>K62*K65</f>
        <v>0</v>
      </c>
      <c r="L64" s="111">
        <f>L62*K65</f>
        <v>0</v>
      </c>
      <c r="M64" s="111">
        <f>M62*K65</f>
        <v>0</v>
      </c>
      <c r="N64" s="150">
        <f>N62*K65</f>
        <v>0</v>
      </c>
      <c r="O64" s="150">
        <f>O62*K65</f>
        <v>0</v>
      </c>
    </row>
    <row r="65" spans="1:17">
      <c r="A65" s="2"/>
      <c r="B65" s="2"/>
      <c r="I65" s="219"/>
      <c r="J65" s="219"/>
      <c r="K65" s="219">
        <f>1-(SUM(I64:J64))</f>
        <v>0.28733333333333333</v>
      </c>
      <c r="L65" s="219"/>
      <c r="M65" s="219"/>
      <c r="N65" s="219"/>
      <c r="O65" s="219"/>
    </row>
    <row r="66" spans="1:17">
      <c r="A66" s="2"/>
      <c r="B66" s="2"/>
      <c r="I66">
        <f>ROUND(100/60,0)</f>
        <v>2</v>
      </c>
      <c r="J66" s="129">
        <f>ROUND(P59,0)</f>
        <v>70</v>
      </c>
      <c r="K66">
        <v>14</v>
      </c>
      <c r="L66">
        <v>5</v>
      </c>
      <c r="M66">
        <v>2</v>
      </c>
      <c r="N66" s="129">
        <f>ROUND(100*N59/F61,0)</f>
        <v>6</v>
      </c>
      <c r="O66">
        <f>ROUND(100*O59/F61,0)</f>
        <v>1</v>
      </c>
      <c r="Q66">
        <f>100 - SUM(I66:O66)</f>
        <v>0</v>
      </c>
    </row>
    <row r="67" spans="1:17">
      <c r="A67" s="2"/>
      <c r="B67" s="2"/>
      <c r="K67">
        <f>K61*K66</f>
        <v>14</v>
      </c>
      <c r="L67">
        <f>L61*L66</f>
        <v>10</v>
      </c>
      <c r="M67">
        <f>M61*M66</f>
        <v>6</v>
      </c>
      <c r="N67">
        <f>N61*N66</f>
        <v>24</v>
      </c>
      <c r="O67">
        <f>O66*O61</f>
        <v>6</v>
      </c>
      <c r="Q67">
        <f>R63-SUM(K67:O67)</f>
        <v>0</v>
      </c>
    </row>
    <row r="68" spans="1:17">
      <c r="A68" s="2"/>
      <c r="B68" s="2"/>
    </row>
    <row r="71" spans="1:17" s="96" customFormat="1" ht="15" thickBot="1"/>
    <row r="72" spans="1:17" s="96" customFormat="1" ht="15" thickBot="1">
      <c r="D72" s="138" t="s">
        <v>202</v>
      </c>
      <c r="E72" s="138" t="s">
        <v>203</v>
      </c>
      <c r="F72" s="138" t="s">
        <v>204</v>
      </c>
      <c r="G72" s="138" t="s">
        <v>127</v>
      </c>
      <c r="H72" s="138" t="s">
        <v>205</v>
      </c>
      <c r="I72" s="138" t="s">
        <v>206</v>
      </c>
      <c r="J72" s="138" t="s">
        <v>129</v>
      </c>
      <c r="K72" s="138" t="s">
        <v>131</v>
      </c>
      <c r="L72" s="138" t="s">
        <v>207</v>
      </c>
      <c r="M72" s="138" t="s">
        <v>208</v>
      </c>
      <c r="N72" s="138" t="s">
        <v>5</v>
      </c>
      <c r="O72" s="138" t="s">
        <v>6</v>
      </c>
      <c r="P72" s="138" t="s">
        <v>209</v>
      </c>
    </row>
    <row r="73" spans="1:17" s="96" customFormat="1" ht="15" thickBot="1">
      <c r="D73" s="96" t="s">
        <v>225</v>
      </c>
      <c r="E73" s="139">
        <v>268</v>
      </c>
      <c r="F73" s="139">
        <v>4883</v>
      </c>
      <c r="G73" s="140">
        <v>14318</v>
      </c>
      <c r="H73" s="139">
        <v>517</v>
      </c>
      <c r="I73" s="154">
        <v>2.93</v>
      </c>
      <c r="J73" s="154">
        <v>27.7</v>
      </c>
      <c r="K73" s="154">
        <v>56.7</v>
      </c>
      <c r="L73" s="139">
        <v>18</v>
      </c>
      <c r="M73" s="141">
        <v>42217</v>
      </c>
      <c r="N73" s="139">
        <v>1932</v>
      </c>
      <c r="O73" s="139">
        <v>50</v>
      </c>
      <c r="P73" s="139">
        <v>78.400000000000006</v>
      </c>
    </row>
    <row r="74" spans="1:17">
      <c r="F74" t="s">
        <v>217</v>
      </c>
    </row>
    <row r="75" spans="1:17">
      <c r="F75">
        <f>(INT(F73)*6)+(10*(MOD(F73,1)))</f>
        <v>29298</v>
      </c>
    </row>
    <row r="77" spans="1:17" ht="15" thickBot="1">
      <c r="D77" s="137"/>
    </row>
    <row r="78" spans="1:17" s="96" customFormat="1" ht="15" thickBot="1">
      <c r="D78" s="138" t="s">
        <v>202</v>
      </c>
      <c r="E78" s="138" t="s">
        <v>203</v>
      </c>
      <c r="F78" s="138" t="s">
        <v>204</v>
      </c>
      <c r="G78" s="138" t="s">
        <v>127</v>
      </c>
      <c r="H78" s="138" t="s">
        <v>205</v>
      </c>
      <c r="I78" s="138" t="s">
        <v>206</v>
      </c>
      <c r="J78" s="138" t="s">
        <v>129</v>
      </c>
      <c r="K78" s="138" t="s">
        <v>131</v>
      </c>
      <c r="L78" s="138" t="s">
        <v>207</v>
      </c>
      <c r="M78" s="138" t="s">
        <v>208</v>
      </c>
      <c r="N78" s="138" t="s">
        <v>5</v>
      </c>
      <c r="O78" s="138" t="s">
        <v>6</v>
      </c>
      <c r="P78" s="138" t="s">
        <v>209</v>
      </c>
    </row>
    <row r="79" spans="1:17" s="96" customFormat="1" ht="42" thickBot="1">
      <c r="D79" s="139" t="s">
        <v>227</v>
      </c>
      <c r="E79" s="139">
        <v>297</v>
      </c>
      <c r="F79" s="139">
        <v>5721</v>
      </c>
      <c r="G79" s="140">
        <v>16252</v>
      </c>
      <c r="H79" s="139">
        <v>614</v>
      </c>
      <c r="I79" s="154">
        <v>2.84</v>
      </c>
      <c r="J79" s="154">
        <v>26.5</v>
      </c>
      <c r="K79" s="154">
        <v>55.9</v>
      </c>
      <c r="L79" s="139">
        <v>30</v>
      </c>
      <c r="M79" s="141">
        <v>15523</v>
      </c>
      <c r="N79" s="139">
        <v>2248</v>
      </c>
      <c r="O79" s="139">
        <v>46</v>
      </c>
      <c r="P79" s="139">
        <v>78.900000000000006</v>
      </c>
    </row>
    <row r="83" spans="4:16" ht="15" thickBot="1">
      <c r="D83" s="137"/>
    </row>
    <row r="84" spans="4:16" s="96" customFormat="1" ht="15" thickBot="1">
      <c r="D84" s="138" t="s">
        <v>202</v>
      </c>
      <c r="E84" s="138" t="s">
        <v>203</v>
      </c>
      <c r="F84" s="138" t="s">
        <v>204</v>
      </c>
      <c r="G84" s="138" t="s">
        <v>127</v>
      </c>
      <c r="H84" s="138" t="s">
        <v>205</v>
      </c>
      <c r="I84" s="138" t="s">
        <v>206</v>
      </c>
      <c r="J84" s="138" t="s">
        <v>129</v>
      </c>
      <c r="K84" s="138" t="s">
        <v>131</v>
      </c>
      <c r="L84" s="138" t="s">
        <v>207</v>
      </c>
      <c r="M84" s="138" t="s">
        <v>208</v>
      </c>
      <c r="N84" s="138" t="s">
        <v>5</v>
      </c>
      <c r="O84" s="138" t="s">
        <v>6</v>
      </c>
      <c r="P84" s="138" t="s">
        <v>209</v>
      </c>
    </row>
    <row r="85" spans="4:16" s="96" customFormat="1" ht="28.2" thickBot="1">
      <c r="D85" s="139" t="s">
        <v>228</v>
      </c>
      <c r="E85" s="139">
        <v>171</v>
      </c>
      <c r="F85" s="139">
        <v>3101.3</v>
      </c>
      <c r="G85" s="140">
        <v>10077</v>
      </c>
      <c r="H85" s="139">
        <v>439</v>
      </c>
      <c r="I85" s="139">
        <v>3.25</v>
      </c>
      <c r="J85" s="139">
        <v>23</v>
      </c>
      <c r="K85" s="154">
        <v>42.4</v>
      </c>
      <c r="L85" s="139">
        <v>26</v>
      </c>
      <c r="M85" s="141">
        <v>18810</v>
      </c>
      <c r="N85" s="139">
        <v>1329</v>
      </c>
      <c r="O85" s="139">
        <v>44</v>
      </c>
      <c r="P85" s="139">
        <v>77.3</v>
      </c>
    </row>
    <row r="89" spans="4:16" ht="15" thickBot="1"/>
    <row r="90" spans="4:16" s="96" customFormat="1" ht="15" thickBot="1">
      <c r="D90" s="138" t="s">
        <v>202</v>
      </c>
      <c r="E90" s="138" t="s">
        <v>203</v>
      </c>
      <c r="F90" s="138" t="s">
        <v>204</v>
      </c>
      <c r="G90" s="138" t="s">
        <v>127</v>
      </c>
      <c r="H90" s="138" t="s">
        <v>205</v>
      </c>
      <c r="I90" s="138" t="s">
        <v>206</v>
      </c>
      <c r="J90" s="138" t="s">
        <v>129</v>
      </c>
      <c r="K90" s="138" t="s">
        <v>131</v>
      </c>
      <c r="L90" s="138" t="s">
        <v>207</v>
      </c>
      <c r="M90" s="138" t="s">
        <v>208</v>
      </c>
      <c r="N90" s="138" t="s">
        <v>5</v>
      </c>
      <c r="O90" s="138" t="s">
        <v>6</v>
      </c>
      <c r="P90" s="138" t="s">
        <v>209</v>
      </c>
    </row>
    <row r="91" spans="4:16" s="96" customFormat="1" ht="28.2" thickBot="1">
      <c r="D91" s="139" t="s">
        <v>229</v>
      </c>
      <c r="E91" s="139">
        <v>56</v>
      </c>
      <c r="F91" s="139">
        <v>656.1</v>
      </c>
      <c r="G91" s="140">
        <v>2206</v>
      </c>
      <c r="H91" s="139">
        <v>38</v>
      </c>
      <c r="I91" s="139">
        <v>3.36</v>
      </c>
      <c r="J91" s="139">
        <v>58.1</v>
      </c>
      <c r="K91" s="155">
        <v>103.6</v>
      </c>
      <c r="L91" s="139">
        <v>0</v>
      </c>
      <c r="M91" s="141">
        <v>41365</v>
      </c>
      <c r="N91" s="139">
        <v>188</v>
      </c>
      <c r="O91" s="139">
        <v>26</v>
      </c>
      <c r="P91" s="139">
        <v>67</v>
      </c>
    </row>
    <row r="94" spans="4:16" ht="15" thickBot="1"/>
    <row r="95" spans="4:16" s="96" customFormat="1" ht="15" thickBot="1">
      <c r="D95" s="138" t="s">
        <v>202</v>
      </c>
      <c r="E95" s="138" t="s">
        <v>203</v>
      </c>
      <c r="F95" s="138" t="s">
        <v>204</v>
      </c>
      <c r="G95" s="138" t="s">
        <v>127</v>
      </c>
      <c r="H95" s="138" t="s">
        <v>205</v>
      </c>
      <c r="I95" s="138" t="s">
        <v>206</v>
      </c>
      <c r="J95" s="138" t="s">
        <v>129</v>
      </c>
      <c r="K95" s="138" t="s">
        <v>131</v>
      </c>
      <c r="L95" s="138" t="s">
        <v>207</v>
      </c>
      <c r="M95" s="138" t="s">
        <v>208</v>
      </c>
      <c r="N95" s="138" t="s">
        <v>5</v>
      </c>
      <c r="O95" s="138" t="s">
        <v>6</v>
      </c>
      <c r="P95" s="138" t="s">
        <v>209</v>
      </c>
    </row>
    <row r="96" spans="4:16" s="96" customFormat="1" ht="28.2" thickBot="1">
      <c r="D96" s="139" t="s">
        <v>230</v>
      </c>
      <c r="E96" s="139">
        <v>35</v>
      </c>
      <c r="F96" s="139">
        <v>489.5</v>
      </c>
      <c r="G96" s="140">
        <v>1631</v>
      </c>
      <c r="H96" s="139">
        <v>25</v>
      </c>
      <c r="I96" s="139">
        <v>3.33</v>
      </c>
      <c r="J96" s="155">
        <v>65.2</v>
      </c>
      <c r="K96" s="155">
        <v>117.6</v>
      </c>
      <c r="L96" s="139">
        <v>0</v>
      </c>
      <c r="M96" s="141">
        <v>19085</v>
      </c>
      <c r="N96" s="139">
        <v>225</v>
      </c>
      <c r="O96" s="139">
        <v>1</v>
      </c>
      <c r="P96" s="139">
        <v>80.3</v>
      </c>
    </row>
    <row r="99" spans="4:16" ht="15" thickBot="1"/>
    <row r="100" spans="4:16" s="96" customFormat="1" ht="15" thickBot="1">
      <c r="D100" s="138" t="s">
        <v>202</v>
      </c>
      <c r="E100" s="138" t="s">
        <v>203</v>
      </c>
      <c r="F100" s="138" t="s">
        <v>204</v>
      </c>
      <c r="G100" s="138" t="s">
        <v>127</v>
      </c>
      <c r="H100" s="138" t="s">
        <v>205</v>
      </c>
      <c r="I100" s="138" t="s">
        <v>206</v>
      </c>
      <c r="J100" s="138" t="s">
        <v>129</v>
      </c>
      <c r="K100" s="138" t="s">
        <v>131</v>
      </c>
      <c r="L100" s="138" t="s">
        <v>207</v>
      </c>
      <c r="M100" s="138" t="s">
        <v>208</v>
      </c>
      <c r="N100" s="138" t="s">
        <v>5</v>
      </c>
      <c r="O100" s="138" t="s">
        <v>6</v>
      </c>
      <c r="P100" s="138" t="s">
        <v>209</v>
      </c>
    </row>
    <row r="101" spans="4:16" s="96" customFormat="1" ht="15" thickBot="1">
      <c r="D101" s="139" t="s">
        <v>231</v>
      </c>
      <c r="E101" s="154">
        <v>146</v>
      </c>
      <c r="F101" s="139">
        <v>3586</v>
      </c>
      <c r="G101" s="140">
        <v>10099</v>
      </c>
      <c r="H101" s="154">
        <v>409</v>
      </c>
      <c r="I101" s="139">
        <v>2.82</v>
      </c>
      <c r="J101" s="139">
        <v>24.7</v>
      </c>
      <c r="K101" s="139">
        <v>52.6</v>
      </c>
      <c r="L101" s="139">
        <v>30</v>
      </c>
      <c r="M101" s="141">
        <v>21732</v>
      </c>
      <c r="N101" s="139">
        <v>1041</v>
      </c>
      <c r="O101" s="139">
        <v>124</v>
      </c>
      <c r="P101" s="139">
        <v>75.099999999999994</v>
      </c>
    </row>
    <row r="104" spans="4:16" ht="15" thickBot="1"/>
    <row r="105" spans="4:16" s="96" customFormat="1" ht="15" thickBot="1">
      <c r="D105" s="138" t="s">
        <v>202</v>
      </c>
      <c r="E105" s="138" t="s">
        <v>203</v>
      </c>
      <c r="F105" s="138" t="s">
        <v>204</v>
      </c>
      <c r="G105" s="138" t="s">
        <v>127</v>
      </c>
      <c r="H105" s="138" t="s">
        <v>205</v>
      </c>
      <c r="I105" s="138" t="s">
        <v>206</v>
      </c>
      <c r="J105" s="138" t="s">
        <v>129</v>
      </c>
      <c r="K105" s="138" t="s">
        <v>131</v>
      </c>
      <c r="L105" s="138" t="s">
        <v>207</v>
      </c>
      <c r="M105" s="138" t="s">
        <v>208</v>
      </c>
      <c r="N105" s="138" t="s">
        <v>5</v>
      </c>
      <c r="O105" s="138" t="s">
        <v>6</v>
      </c>
      <c r="P105" s="138" t="s">
        <v>209</v>
      </c>
    </row>
    <row r="106" spans="4:16" s="96" customFormat="1" ht="15" thickBot="1">
      <c r="D106" s="139" t="s">
        <v>232</v>
      </c>
      <c r="E106" s="139">
        <v>97</v>
      </c>
      <c r="F106" s="139">
        <v>2189.3000000000002</v>
      </c>
      <c r="G106" s="140">
        <v>5351</v>
      </c>
      <c r="H106" s="139">
        <v>220</v>
      </c>
      <c r="I106" s="154">
        <v>2.44</v>
      </c>
      <c r="J106" s="139">
        <v>24.3</v>
      </c>
      <c r="K106" s="139">
        <v>59.7</v>
      </c>
      <c r="L106" s="139">
        <v>9</v>
      </c>
      <c r="M106" s="141">
        <v>17715</v>
      </c>
      <c r="N106" s="139">
        <v>555</v>
      </c>
      <c r="O106" s="139">
        <v>69</v>
      </c>
      <c r="P106" s="139">
        <v>78.8</v>
      </c>
    </row>
  </sheetData>
  <mergeCells count="10">
    <mergeCell ref="A26:B26"/>
    <mergeCell ref="A44:B44"/>
    <mergeCell ref="I65:J65"/>
    <mergeCell ref="K65:O65"/>
    <mergeCell ref="K63:O63"/>
    <mergeCell ref="V1:V2"/>
    <mergeCell ref="S1:S2"/>
    <mergeCell ref="T1:T2"/>
    <mergeCell ref="U1:U2"/>
    <mergeCell ref="A4:B4"/>
  </mergeCells>
  <hyperlinks>
    <hyperlink ref="B9" r:id="rId1" display="http://www.howstat.com/cricket/Statistics/Players/PlayerProgressBowl.asp?PlayerID=4271" xr:uid="{3B14493C-280F-40CC-B734-28F6A3CBE54B}"/>
    <hyperlink ref="B11" r:id="rId2" display="http://www.howstat.com/cricket/Statistics/Players/PlayerNotables.asp?PlayerID=4271&amp;s=3" xr:uid="{83A87C87-C69C-4AAD-A64E-1FAC53BDFA78}"/>
    <hyperlink ref="B13" r:id="rId3" display="http://www.howstat.com/cricket/Statistics/Matches/MatchScoreCard.asp?MatchCode=2281" xr:uid="{CCC25543-48A3-4182-A4A5-0FA8B4862099}"/>
    <hyperlink ref="B14" r:id="rId4" display="http://www.howstat.com/cricket/Statistics/Matches/MatchScoreCard.asp?MatchCode=2281" xr:uid="{6F4BF811-49FC-4464-8074-74AF6BEB7D7D}"/>
    <hyperlink ref="B31" r:id="rId5" display="http://www.howstat.com/cricket/Statistics/Players/PlayerProgressBowl.asp?PlayerID=1959" xr:uid="{C1064A9B-9A6C-4782-ADD8-6183AB278D75}"/>
    <hyperlink ref="B33" r:id="rId6" display="http://www.howstat.com/cricket/Statistics/Players/PlayerNotables.asp?PlayerID=1959&amp;s=3" xr:uid="{AAADE4B1-31DB-4967-8673-74901458662E}"/>
    <hyperlink ref="B35" r:id="rId7" display="http://www.howstat.com/cricket/Statistics/Matches/MatchScoreCard.asp?MatchCode=1153" xr:uid="{51363968-653C-41FA-BE54-6D02BA41053A}"/>
    <hyperlink ref="B36" r:id="rId8" display="http://www.howstat.com/cricket/Statistics/Matches/MatchScoreCard.asp?MatchCode=1257" xr:uid="{B7DED713-4BE6-4BBF-ACC4-FB0468689463}"/>
    <hyperlink ref="B49" r:id="rId9" display="http://www.howstat.com/cricket/Statistics/Players/PlayerProgressBowl.asp?PlayerID=4271" xr:uid="{8DBDECE7-F015-48FE-9DF3-A5D47BA5DB81}"/>
    <hyperlink ref="B51" r:id="rId10" display="http://www.howstat.com/cricket/Statistics/Players/PlayerNotables.asp?PlayerID=4271&amp;s=3" xr:uid="{AE12DC82-F2C6-468B-88B8-111F43397C3F}"/>
    <hyperlink ref="B53" r:id="rId11" display="http://www.howstat.com/cricket/Statistics/Matches/MatchScoreCard.asp?MatchCode=2281" xr:uid="{40762546-4094-4DC9-B03A-5D34303DE856}"/>
    <hyperlink ref="B54" r:id="rId12" display="http://www.howstat.com/cricket/Statistics/Matches/MatchScoreCard.asp?MatchCode=2281" xr:uid="{59A706D6-271C-409D-AEEA-45D12C8E9D7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4BAF2-3C84-4C52-B3EE-DA967A2A9FF1}">
  <sheetPr codeName="Sheet6"/>
  <dimension ref="A1:AA33"/>
  <sheetViews>
    <sheetView topLeftCell="C1" workbookViewId="0">
      <selection activeCell="P14" sqref="P14"/>
    </sheetView>
  </sheetViews>
  <sheetFormatPr defaultRowHeight="14.4"/>
  <cols>
    <col min="18" max="25" width="5.6640625" customWidth="1"/>
  </cols>
  <sheetData>
    <row r="1" spans="1:27" ht="15" thickBot="1">
      <c r="A1" t="s">
        <v>311</v>
      </c>
      <c r="D1" t="s">
        <v>318</v>
      </c>
      <c r="G1" t="s">
        <v>317</v>
      </c>
      <c r="J1" t="s">
        <v>319</v>
      </c>
      <c r="M1" t="s">
        <v>324</v>
      </c>
      <c r="S1" s="134"/>
      <c r="T1" t="s">
        <v>135</v>
      </c>
      <c r="U1">
        <v>0</v>
      </c>
      <c r="V1">
        <v>1</v>
      </c>
      <c r="W1">
        <v>2</v>
      </c>
      <c r="X1">
        <v>3</v>
      </c>
      <c r="Y1">
        <v>4</v>
      </c>
      <c r="Z1">
        <v>6</v>
      </c>
    </row>
    <row r="2" spans="1:27">
      <c r="A2" s="231" t="s">
        <v>160</v>
      </c>
      <c r="B2" s="232"/>
      <c r="D2" s="218" t="s">
        <v>160</v>
      </c>
      <c r="E2" s="218"/>
      <c r="G2" s="218" t="s">
        <v>160</v>
      </c>
      <c r="H2" s="218"/>
      <c r="J2" s="218" t="s">
        <v>160</v>
      </c>
      <c r="K2" s="218"/>
      <c r="M2" s="218" t="s">
        <v>160</v>
      </c>
      <c r="N2" s="218"/>
      <c r="Q2" t="s">
        <v>110</v>
      </c>
      <c r="R2">
        <v>50</v>
      </c>
      <c r="S2">
        <v>0</v>
      </c>
      <c r="T2">
        <f>S2+T12</f>
        <v>2</v>
      </c>
      <c r="U2">
        <f t="shared" ref="U2:Y2" si="0">T2+U12</f>
        <v>5</v>
      </c>
      <c r="V2">
        <f t="shared" si="0"/>
        <v>10</v>
      </c>
      <c r="W2">
        <f t="shared" si="0"/>
        <v>40</v>
      </c>
      <c r="X2">
        <f t="shared" si="0"/>
        <v>45</v>
      </c>
      <c r="Y2">
        <f t="shared" si="0"/>
        <v>75</v>
      </c>
      <c r="Z2">
        <f>Y2+Z12</f>
        <v>100</v>
      </c>
    </row>
    <row r="3" spans="1:27">
      <c r="A3" s="225" t="s">
        <v>98</v>
      </c>
      <c r="B3" s="226">
        <v>47</v>
      </c>
      <c r="D3" s="191" t="s">
        <v>98</v>
      </c>
      <c r="E3" s="121">
        <v>110</v>
      </c>
      <c r="G3" s="191" t="s">
        <v>98</v>
      </c>
      <c r="H3" s="121">
        <v>288</v>
      </c>
      <c r="J3" s="191" t="s">
        <v>98</v>
      </c>
      <c r="K3" s="121">
        <v>41</v>
      </c>
      <c r="M3" s="191" t="s">
        <v>98</v>
      </c>
      <c r="N3" s="121">
        <v>7</v>
      </c>
      <c r="Q3" t="s">
        <v>109</v>
      </c>
      <c r="R3">
        <v>45</v>
      </c>
      <c r="S3">
        <v>0</v>
      </c>
      <c r="T3">
        <f t="shared" ref="T3:Z3" si="1">S3+T13</f>
        <v>3</v>
      </c>
      <c r="U3">
        <f t="shared" si="1"/>
        <v>5</v>
      </c>
      <c r="V3">
        <f t="shared" si="1"/>
        <v>11</v>
      </c>
      <c r="W3">
        <f t="shared" si="1"/>
        <v>39</v>
      </c>
      <c r="X3">
        <f t="shared" si="1"/>
        <v>44</v>
      </c>
      <c r="Y3">
        <f t="shared" si="1"/>
        <v>76</v>
      </c>
      <c r="Z3">
        <f t="shared" si="1"/>
        <v>100</v>
      </c>
    </row>
    <row r="4" spans="1:27">
      <c r="A4" s="225" t="s">
        <v>161</v>
      </c>
      <c r="B4" s="227">
        <v>15</v>
      </c>
      <c r="D4" s="191" t="s">
        <v>161</v>
      </c>
      <c r="E4" s="122">
        <v>44</v>
      </c>
      <c r="G4" s="191" t="s">
        <v>161</v>
      </c>
      <c r="H4" s="122">
        <v>58</v>
      </c>
      <c r="J4" s="191" t="s">
        <v>161</v>
      </c>
      <c r="K4" s="122">
        <v>18</v>
      </c>
      <c r="M4" s="191" t="s">
        <v>161</v>
      </c>
      <c r="N4" s="122">
        <v>5</v>
      </c>
      <c r="Q4" t="s">
        <v>108</v>
      </c>
      <c r="R4">
        <v>40</v>
      </c>
      <c r="S4">
        <v>0</v>
      </c>
      <c r="T4">
        <f t="shared" ref="T4:Z4" si="2">S4+T14</f>
        <v>4</v>
      </c>
      <c r="U4">
        <f t="shared" si="2"/>
        <v>6</v>
      </c>
      <c r="V4">
        <f t="shared" si="2"/>
        <v>14</v>
      </c>
      <c r="W4">
        <f t="shared" si="2"/>
        <v>40</v>
      </c>
      <c r="X4">
        <f t="shared" si="2"/>
        <v>45</v>
      </c>
      <c r="Y4">
        <f t="shared" si="2"/>
        <v>78</v>
      </c>
      <c r="Z4">
        <f t="shared" si="2"/>
        <v>100</v>
      </c>
    </row>
    <row r="5" spans="1:27" ht="20.399999999999999">
      <c r="A5" s="225" t="s">
        <v>162</v>
      </c>
      <c r="B5" s="227">
        <v>324</v>
      </c>
      <c r="D5" s="191" t="s">
        <v>162</v>
      </c>
      <c r="E5" s="122">
        <v>1176</v>
      </c>
      <c r="G5" s="191" t="s">
        <v>162</v>
      </c>
      <c r="H5" s="122">
        <v>7569</v>
      </c>
      <c r="J5" s="191" t="s">
        <v>162</v>
      </c>
      <c r="K5" s="122">
        <v>328</v>
      </c>
      <c r="M5" s="191" t="s">
        <v>162</v>
      </c>
      <c r="N5" s="122">
        <v>22</v>
      </c>
      <c r="Q5" t="s">
        <v>107</v>
      </c>
      <c r="R5">
        <v>35</v>
      </c>
      <c r="S5">
        <v>0</v>
      </c>
      <c r="T5">
        <f t="shared" ref="T5:Z5" si="3">S5+T15</f>
        <v>5</v>
      </c>
      <c r="U5">
        <f t="shared" si="3"/>
        <v>10</v>
      </c>
      <c r="V5">
        <f t="shared" si="3"/>
        <v>20</v>
      </c>
      <c r="W5">
        <f t="shared" si="3"/>
        <v>46</v>
      </c>
      <c r="X5">
        <f t="shared" si="3"/>
        <v>51</v>
      </c>
      <c r="Y5">
        <f t="shared" si="3"/>
        <v>80</v>
      </c>
      <c r="Z5">
        <f t="shared" si="3"/>
        <v>100</v>
      </c>
    </row>
    <row r="6" spans="1:27" ht="20.399999999999999">
      <c r="A6" s="225" t="s">
        <v>163</v>
      </c>
      <c r="B6" s="226">
        <v>36</v>
      </c>
      <c r="D6" s="191" t="s">
        <v>163</v>
      </c>
      <c r="E6" s="121">
        <v>59</v>
      </c>
      <c r="G6" s="191" t="s">
        <v>163</v>
      </c>
      <c r="H6" s="121" t="s">
        <v>316</v>
      </c>
      <c r="J6" s="191" t="s">
        <v>163</v>
      </c>
      <c r="K6" s="121" t="s">
        <v>320</v>
      </c>
      <c r="M6" s="191" t="s">
        <v>163</v>
      </c>
      <c r="N6" s="121" t="s">
        <v>323</v>
      </c>
      <c r="Q6" t="s">
        <v>106</v>
      </c>
      <c r="R6">
        <v>30</v>
      </c>
      <c r="S6">
        <v>0</v>
      </c>
      <c r="T6">
        <f t="shared" ref="T6:Z6" si="4">S6+T16</f>
        <v>6</v>
      </c>
      <c r="U6">
        <f t="shared" si="4"/>
        <v>14</v>
      </c>
      <c r="V6">
        <f t="shared" si="4"/>
        <v>26</v>
      </c>
      <c r="W6">
        <f t="shared" si="4"/>
        <v>52</v>
      </c>
      <c r="X6">
        <f t="shared" si="4"/>
        <v>57</v>
      </c>
      <c r="Y6">
        <f t="shared" si="4"/>
        <v>82</v>
      </c>
      <c r="Z6">
        <f t="shared" si="4"/>
        <v>100</v>
      </c>
    </row>
    <row r="7" spans="1:27">
      <c r="A7" s="225" t="s">
        <v>164</v>
      </c>
      <c r="B7" s="227">
        <v>10.130000000000001</v>
      </c>
      <c r="D7" s="191" t="s">
        <v>164</v>
      </c>
      <c r="E7" s="122">
        <v>17.82</v>
      </c>
      <c r="G7" s="191" t="s">
        <v>164</v>
      </c>
      <c r="H7" s="122">
        <v>32.909999999999997</v>
      </c>
      <c r="J7" s="191" t="s">
        <v>164</v>
      </c>
      <c r="K7" s="122">
        <v>14.26</v>
      </c>
      <c r="M7" s="191" t="s">
        <v>164</v>
      </c>
      <c r="N7" s="122">
        <v>11</v>
      </c>
      <c r="Q7" t="s">
        <v>111</v>
      </c>
      <c r="R7">
        <v>25</v>
      </c>
      <c r="S7">
        <v>0</v>
      </c>
      <c r="T7">
        <f t="shared" ref="T7:Z7" si="5">S7+T17</f>
        <v>7</v>
      </c>
      <c r="U7">
        <f t="shared" si="5"/>
        <v>18</v>
      </c>
      <c r="V7">
        <f t="shared" si="5"/>
        <v>32</v>
      </c>
      <c r="W7">
        <f t="shared" si="5"/>
        <v>58</v>
      </c>
      <c r="X7">
        <f t="shared" si="5"/>
        <v>60</v>
      </c>
      <c r="Y7">
        <f t="shared" si="5"/>
        <v>84</v>
      </c>
      <c r="Z7">
        <f t="shared" si="5"/>
        <v>100</v>
      </c>
    </row>
    <row r="8" spans="1:27">
      <c r="A8" s="225" t="s">
        <v>165</v>
      </c>
      <c r="B8" s="227">
        <v>0</v>
      </c>
      <c r="D8" s="191" t="s">
        <v>165</v>
      </c>
      <c r="E8" s="122">
        <v>3</v>
      </c>
      <c r="G8" s="191" t="s">
        <v>165</v>
      </c>
      <c r="H8" s="122">
        <v>45</v>
      </c>
      <c r="J8" s="191" t="s">
        <v>321</v>
      </c>
      <c r="K8" s="122">
        <v>3</v>
      </c>
      <c r="M8" s="191" t="s">
        <v>321</v>
      </c>
      <c r="N8" s="122">
        <v>0</v>
      </c>
      <c r="Q8" t="s">
        <v>112</v>
      </c>
      <c r="R8">
        <v>20</v>
      </c>
      <c r="S8">
        <v>0</v>
      </c>
      <c r="T8">
        <f t="shared" ref="T8:Z8" si="6">S8+T18</f>
        <v>8</v>
      </c>
      <c r="U8">
        <f t="shared" si="6"/>
        <v>22</v>
      </c>
      <c r="V8">
        <f t="shared" si="6"/>
        <v>38</v>
      </c>
      <c r="W8">
        <f t="shared" si="6"/>
        <v>62</v>
      </c>
      <c r="X8">
        <f t="shared" si="6"/>
        <v>65</v>
      </c>
      <c r="Y8">
        <f t="shared" si="6"/>
        <v>86</v>
      </c>
      <c r="Z8">
        <f t="shared" si="6"/>
        <v>100</v>
      </c>
    </row>
    <row r="9" spans="1:27">
      <c r="A9" s="225" t="s">
        <v>166</v>
      </c>
      <c r="B9" s="227">
        <v>0</v>
      </c>
      <c r="D9" s="191" t="s">
        <v>166</v>
      </c>
      <c r="E9" s="122">
        <v>0</v>
      </c>
      <c r="G9" s="191" t="s">
        <v>166</v>
      </c>
      <c r="H9" s="121">
        <v>3</v>
      </c>
      <c r="J9" s="191" t="s">
        <v>165</v>
      </c>
      <c r="K9" s="122">
        <v>0</v>
      </c>
      <c r="M9" s="191" t="s">
        <v>165</v>
      </c>
      <c r="N9" s="122">
        <v>0</v>
      </c>
      <c r="Q9" t="s">
        <v>113</v>
      </c>
      <c r="R9">
        <v>15</v>
      </c>
      <c r="S9">
        <v>0</v>
      </c>
      <c r="T9">
        <f t="shared" ref="T9:Z9" si="7">S9+T19</f>
        <v>9</v>
      </c>
      <c r="U9">
        <f t="shared" si="7"/>
        <v>26</v>
      </c>
      <c r="V9">
        <f t="shared" si="7"/>
        <v>44</v>
      </c>
      <c r="W9">
        <f t="shared" si="7"/>
        <v>66</v>
      </c>
      <c r="X9">
        <f t="shared" si="7"/>
        <v>70</v>
      </c>
      <c r="Y9">
        <f t="shared" si="7"/>
        <v>88</v>
      </c>
      <c r="Z9">
        <f t="shared" si="7"/>
        <v>100</v>
      </c>
    </row>
    <row r="10" spans="1:27">
      <c r="A10" s="225" t="s">
        <v>169</v>
      </c>
      <c r="B10" s="227">
        <v>8</v>
      </c>
      <c r="D10" s="191" t="s">
        <v>167</v>
      </c>
      <c r="E10" s="122">
        <v>0</v>
      </c>
      <c r="G10" s="191" t="s">
        <v>167</v>
      </c>
      <c r="H10" s="122">
        <v>0</v>
      </c>
      <c r="J10" s="191" t="s">
        <v>166</v>
      </c>
      <c r="K10" s="122">
        <v>0</v>
      </c>
      <c r="M10" s="191" t="s">
        <v>166</v>
      </c>
      <c r="N10" s="122">
        <v>0</v>
      </c>
      <c r="Q10" t="s">
        <v>114</v>
      </c>
      <c r="R10">
        <v>10</v>
      </c>
      <c r="S10">
        <v>0</v>
      </c>
      <c r="T10">
        <f t="shared" ref="T10:Z10" si="8">S10+T20</f>
        <v>10</v>
      </c>
      <c r="U10">
        <f t="shared" si="8"/>
        <v>30</v>
      </c>
      <c r="V10">
        <f t="shared" si="8"/>
        <v>50</v>
      </c>
      <c r="W10">
        <f t="shared" si="8"/>
        <v>70</v>
      </c>
      <c r="X10">
        <f t="shared" si="8"/>
        <v>75</v>
      </c>
      <c r="Y10">
        <f t="shared" si="8"/>
        <v>90</v>
      </c>
      <c r="Z10">
        <f t="shared" si="8"/>
        <v>100</v>
      </c>
    </row>
    <row r="11" spans="1:27">
      <c r="A11" s="225" t="s">
        <v>171</v>
      </c>
      <c r="B11" s="227">
        <v>23</v>
      </c>
      <c r="D11" s="191" t="s">
        <v>169</v>
      </c>
      <c r="E11" s="122">
        <v>16</v>
      </c>
      <c r="G11" s="191" t="s">
        <v>169</v>
      </c>
      <c r="H11" s="122">
        <v>15</v>
      </c>
      <c r="J11" s="191" t="s">
        <v>169</v>
      </c>
      <c r="K11" s="122">
        <v>7</v>
      </c>
      <c r="M11" s="191" t="s">
        <v>169</v>
      </c>
      <c r="N11" s="122">
        <v>1</v>
      </c>
    </row>
    <row r="12" spans="1:27">
      <c r="A12" s="225" t="s">
        <v>172</v>
      </c>
      <c r="B12" s="227">
        <v>5</v>
      </c>
      <c r="D12" s="191" t="s">
        <v>171</v>
      </c>
      <c r="E12" s="122">
        <v>69</v>
      </c>
      <c r="G12" s="191" t="s">
        <v>171</v>
      </c>
      <c r="H12" s="122">
        <v>529</v>
      </c>
      <c r="J12" s="191" t="s">
        <v>171</v>
      </c>
      <c r="K12" s="122">
        <v>20</v>
      </c>
      <c r="M12" s="191" t="s">
        <v>171</v>
      </c>
      <c r="N12" s="122">
        <v>2</v>
      </c>
      <c r="T12">
        <v>2</v>
      </c>
      <c r="U12">
        <v>3</v>
      </c>
      <c r="V12">
        <v>5</v>
      </c>
      <c r="W12">
        <v>30</v>
      </c>
      <c r="X12">
        <v>5</v>
      </c>
      <c r="Y12">
        <v>30</v>
      </c>
      <c r="Z12">
        <v>25</v>
      </c>
      <c r="AA12">
        <f>SUM(T12:Z12)</f>
        <v>100</v>
      </c>
    </row>
    <row r="13" spans="1:27" ht="20.399999999999999">
      <c r="A13" s="225" t="s">
        <v>174</v>
      </c>
      <c r="B13" s="227">
        <v>73.97</v>
      </c>
      <c r="D13" s="191" t="s">
        <v>172</v>
      </c>
      <c r="E13" s="122">
        <v>34</v>
      </c>
      <c r="G13" s="191" t="s">
        <v>172</v>
      </c>
      <c r="H13" s="122">
        <v>68</v>
      </c>
      <c r="J13" s="191" t="s">
        <v>172</v>
      </c>
      <c r="K13" s="122">
        <v>20</v>
      </c>
      <c r="M13" s="191" t="s">
        <v>172</v>
      </c>
      <c r="N13" s="122">
        <v>1</v>
      </c>
      <c r="T13">
        <v>3</v>
      </c>
      <c r="U13">
        <v>2</v>
      </c>
      <c r="V13">
        <v>6</v>
      </c>
      <c r="W13">
        <v>28</v>
      </c>
      <c r="X13">
        <v>5</v>
      </c>
      <c r="Y13">
        <v>32</v>
      </c>
      <c r="Z13">
        <v>24</v>
      </c>
      <c r="AA13">
        <f t="shared" ref="AA13:AA20" si="9">SUM(T13:Z13)</f>
        <v>100</v>
      </c>
    </row>
    <row r="14" spans="1:27" ht="20.399999999999999">
      <c r="A14" s="233"/>
      <c r="B14" s="234"/>
      <c r="D14" s="191" t="s">
        <v>173</v>
      </c>
      <c r="E14" s="122">
        <v>1407</v>
      </c>
      <c r="G14" s="191" t="s">
        <v>173</v>
      </c>
      <c r="H14" s="122">
        <v>9971</v>
      </c>
      <c r="J14" s="191" t="s">
        <v>173</v>
      </c>
      <c r="K14" s="122">
        <v>257</v>
      </c>
      <c r="M14" s="191" t="s">
        <v>173</v>
      </c>
      <c r="N14" s="122">
        <v>14</v>
      </c>
      <c r="T14">
        <v>4</v>
      </c>
      <c r="U14">
        <v>2</v>
      </c>
      <c r="V14">
        <v>8</v>
      </c>
      <c r="W14">
        <v>26</v>
      </c>
      <c r="X14">
        <v>5</v>
      </c>
      <c r="Y14">
        <v>33</v>
      </c>
      <c r="Z14">
        <v>22</v>
      </c>
      <c r="AA14">
        <f t="shared" si="9"/>
        <v>100</v>
      </c>
    </row>
    <row r="15" spans="1:27" ht="20.399999999999999">
      <c r="A15" s="235" t="s">
        <v>180</v>
      </c>
      <c r="B15" s="236"/>
      <c r="D15" s="191" t="s">
        <v>174</v>
      </c>
      <c r="E15" s="122">
        <v>83.58</v>
      </c>
      <c r="G15" s="191" t="s">
        <v>174</v>
      </c>
      <c r="H15" s="122">
        <v>75.91</v>
      </c>
      <c r="J15" s="191" t="s">
        <v>174</v>
      </c>
      <c r="K15" s="122">
        <v>127.63</v>
      </c>
      <c r="M15" s="191" t="s">
        <v>174</v>
      </c>
      <c r="N15" s="122">
        <v>157.13999999999999</v>
      </c>
      <c r="T15">
        <v>5</v>
      </c>
      <c r="U15">
        <v>5</v>
      </c>
      <c r="V15">
        <v>10</v>
      </c>
      <c r="W15">
        <v>26</v>
      </c>
      <c r="X15">
        <v>5</v>
      </c>
      <c r="Y15">
        <v>29</v>
      </c>
      <c r="Z15">
        <v>20</v>
      </c>
      <c r="AA15">
        <f t="shared" si="9"/>
        <v>100</v>
      </c>
    </row>
    <row r="16" spans="1:27" ht="20.399999999999999">
      <c r="A16" s="225" t="s">
        <v>181</v>
      </c>
      <c r="B16" s="227">
        <v>656.2</v>
      </c>
      <c r="D16" s="191" t="s">
        <v>312</v>
      </c>
      <c r="E16" s="122">
        <v>0</v>
      </c>
      <c r="G16" s="191" t="s">
        <v>312</v>
      </c>
      <c r="H16" s="122">
        <v>0</v>
      </c>
      <c r="J16" s="191" t="s">
        <v>312</v>
      </c>
      <c r="K16" s="122">
        <v>0</v>
      </c>
      <c r="M16" s="191" t="s">
        <v>312</v>
      </c>
      <c r="N16" s="122">
        <v>0</v>
      </c>
      <c r="T16">
        <v>6</v>
      </c>
      <c r="U16">
        <v>8</v>
      </c>
      <c r="V16">
        <v>12</v>
      </c>
      <c r="W16">
        <v>26</v>
      </c>
      <c r="X16">
        <v>5</v>
      </c>
      <c r="Y16">
        <v>25</v>
      </c>
      <c r="Z16">
        <v>18</v>
      </c>
      <c r="AA16">
        <f t="shared" si="9"/>
        <v>100</v>
      </c>
    </row>
    <row r="17" spans="1:27" ht="30.6">
      <c r="A17" s="225" t="s">
        <v>184</v>
      </c>
      <c r="B17" s="227">
        <v>3424</v>
      </c>
      <c r="D17" s="191" t="s">
        <v>313</v>
      </c>
      <c r="E17" s="122">
        <v>2</v>
      </c>
      <c r="G17" s="191" t="s">
        <v>313</v>
      </c>
      <c r="H17" s="122">
        <v>35</v>
      </c>
      <c r="J17" s="191" t="s">
        <v>313</v>
      </c>
      <c r="K17" s="122">
        <v>2</v>
      </c>
      <c r="M17" s="191" t="s">
        <v>313</v>
      </c>
      <c r="N17" s="122">
        <v>0</v>
      </c>
      <c r="T17">
        <v>7</v>
      </c>
      <c r="U17">
        <v>11</v>
      </c>
      <c r="V17">
        <v>14</v>
      </c>
      <c r="W17">
        <v>26</v>
      </c>
      <c r="X17">
        <v>2</v>
      </c>
      <c r="Y17">
        <v>24</v>
      </c>
      <c r="Z17">
        <v>16</v>
      </c>
      <c r="AA17">
        <f t="shared" si="9"/>
        <v>100</v>
      </c>
    </row>
    <row r="18" spans="1:27" ht="30.6">
      <c r="A18" s="225" t="s">
        <v>185</v>
      </c>
      <c r="B18" s="226">
        <v>124</v>
      </c>
      <c r="D18" s="191" t="s">
        <v>314</v>
      </c>
      <c r="E18" s="122">
        <v>2.29</v>
      </c>
      <c r="G18" s="191" t="s">
        <v>314</v>
      </c>
      <c r="H18" s="122">
        <v>10.73</v>
      </c>
      <c r="J18" s="191" t="s">
        <v>314</v>
      </c>
      <c r="K18" s="122">
        <v>2.88</v>
      </c>
      <c r="M18" s="191" t="s">
        <v>314</v>
      </c>
      <c r="N18" s="122">
        <v>0.36</v>
      </c>
      <c r="T18">
        <v>8</v>
      </c>
      <c r="U18">
        <v>14</v>
      </c>
      <c r="V18">
        <v>16</v>
      </c>
      <c r="W18">
        <v>24</v>
      </c>
      <c r="X18">
        <v>3</v>
      </c>
      <c r="Y18">
        <v>21</v>
      </c>
      <c r="Z18">
        <v>14</v>
      </c>
      <c r="AA18">
        <f t="shared" si="9"/>
        <v>100</v>
      </c>
    </row>
    <row r="19" spans="1:27">
      <c r="A19" s="225" t="s">
        <v>164</v>
      </c>
      <c r="B19" s="227">
        <v>27.61</v>
      </c>
      <c r="D19" s="221"/>
      <c r="E19" s="221"/>
      <c r="G19" s="221"/>
      <c r="H19" s="221"/>
      <c r="J19" s="221"/>
      <c r="K19" s="221"/>
      <c r="M19" s="221"/>
      <c r="N19" s="221"/>
      <c r="T19">
        <v>9</v>
      </c>
      <c r="U19">
        <v>17</v>
      </c>
      <c r="V19">
        <v>18</v>
      </c>
      <c r="W19">
        <v>22</v>
      </c>
      <c r="X19">
        <v>4</v>
      </c>
      <c r="Y19">
        <v>18</v>
      </c>
      <c r="Z19">
        <v>12</v>
      </c>
      <c r="AA19">
        <f t="shared" si="9"/>
        <v>100</v>
      </c>
    </row>
    <row r="20" spans="1:27" ht="30.6">
      <c r="A20" s="225" t="s">
        <v>309</v>
      </c>
      <c r="B20" s="226">
        <v>7</v>
      </c>
      <c r="D20" s="218" t="s">
        <v>180</v>
      </c>
      <c r="E20" s="218"/>
      <c r="G20" s="218" t="s">
        <v>180</v>
      </c>
      <c r="H20" s="218"/>
      <c r="J20" s="218" t="s">
        <v>180</v>
      </c>
      <c r="K20" s="218"/>
      <c r="M20" s="218" t="s">
        <v>180</v>
      </c>
      <c r="N20" s="218"/>
      <c r="T20">
        <v>10</v>
      </c>
      <c r="U20">
        <v>20</v>
      </c>
      <c r="V20">
        <v>20</v>
      </c>
      <c r="W20">
        <v>20</v>
      </c>
      <c r="X20">
        <v>5</v>
      </c>
      <c r="Y20">
        <v>15</v>
      </c>
      <c r="Z20">
        <v>10</v>
      </c>
      <c r="AA20">
        <f t="shared" si="9"/>
        <v>100</v>
      </c>
    </row>
    <row r="21" spans="1:27" ht="30.6">
      <c r="A21" s="225" t="s">
        <v>186</v>
      </c>
      <c r="B21" s="226">
        <v>1</v>
      </c>
      <c r="D21" s="191" t="s">
        <v>182</v>
      </c>
      <c r="E21" s="122">
        <v>11185</v>
      </c>
      <c r="G21" s="191" t="s">
        <v>182</v>
      </c>
      <c r="H21" s="122">
        <v>8883</v>
      </c>
      <c r="J21" s="191" t="s">
        <v>182</v>
      </c>
      <c r="K21" s="122">
        <v>1676</v>
      </c>
      <c r="M21" s="191" t="s">
        <v>182</v>
      </c>
      <c r="N21" s="122">
        <v>922</v>
      </c>
    </row>
    <row r="22" spans="1:27">
      <c r="A22" s="225" t="s">
        <v>310</v>
      </c>
      <c r="B22" s="228">
        <v>25689</v>
      </c>
      <c r="D22" s="191" t="s">
        <v>183</v>
      </c>
      <c r="E22" s="122">
        <v>141</v>
      </c>
      <c r="G22" s="191" t="s">
        <v>183</v>
      </c>
      <c r="H22" s="122">
        <v>56</v>
      </c>
      <c r="J22" s="191" t="s">
        <v>183</v>
      </c>
      <c r="K22" s="122">
        <v>1</v>
      </c>
      <c r="M22" s="191" t="s">
        <v>183</v>
      </c>
      <c r="N22" s="122">
        <v>4</v>
      </c>
    </row>
    <row r="23" spans="1:27" ht="20.399999999999999">
      <c r="A23" s="233"/>
      <c r="B23" s="234"/>
      <c r="D23" s="191" t="s">
        <v>184</v>
      </c>
      <c r="E23" s="122">
        <v>8877</v>
      </c>
      <c r="G23" s="191" t="s">
        <v>184</v>
      </c>
      <c r="H23" s="122">
        <v>6761</v>
      </c>
      <c r="J23" s="191" t="s">
        <v>184</v>
      </c>
      <c r="K23" s="122">
        <v>1754</v>
      </c>
      <c r="M23" s="191" t="s">
        <v>184</v>
      </c>
      <c r="N23" s="122">
        <v>1181</v>
      </c>
    </row>
    <row r="24" spans="1:27" ht="20.399999999999999">
      <c r="A24" s="225" t="s">
        <v>192</v>
      </c>
      <c r="B24" s="227">
        <v>5.22</v>
      </c>
      <c r="D24" s="191" t="s">
        <v>185</v>
      </c>
      <c r="E24" s="121">
        <v>380</v>
      </c>
      <c r="G24" s="191" t="s">
        <v>185</v>
      </c>
      <c r="H24" s="121">
        <v>195</v>
      </c>
      <c r="J24" s="191" t="s">
        <v>185</v>
      </c>
      <c r="K24" s="121">
        <v>122</v>
      </c>
      <c r="M24" s="191" t="s">
        <v>185</v>
      </c>
      <c r="N24" s="121">
        <v>58</v>
      </c>
    </row>
    <row r="25" spans="1:27" ht="21" thickBot="1">
      <c r="A25" s="229" t="s">
        <v>193</v>
      </c>
      <c r="B25" s="230">
        <v>31.76</v>
      </c>
      <c r="D25" s="191" t="s">
        <v>164</v>
      </c>
      <c r="E25" s="122">
        <v>23.36</v>
      </c>
      <c r="G25" s="191" t="s">
        <v>164</v>
      </c>
      <c r="H25" s="122">
        <v>34.67</v>
      </c>
      <c r="J25" s="191" t="s">
        <v>164</v>
      </c>
      <c r="K25" s="122">
        <v>14.38</v>
      </c>
      <c r="M25" s="191" t="s">
        <v>164</v>
      </c>
      <c r="N25" s="122">
        <v>20.36</v>
      </c>
    </row>
    <row r="26" spans="1:27" ht="20.399999999999999">
      <c r="D26" s="191" t="s">
        <v>309</v>
      </c>
      <c r="E26" s="121">
        <v>23</v>
      </c>
      <c r="G26" s="191" t="s">
        <v>309</v>
      </c>
      <c r="H26" s="121">
        <v>3</v>
      </c>
      <c r="J26" s="191" t="s">
        <v>322</v>
      </c>
      <c r="K26" s="122">
        <v>17</v>
      </c>
      <c r="M26" s="191" t="s">
        <v>322</v>
      </c>
      <c r="N26" s="122">
        <v>9</v>
      </c>
    </row>
    <row r="27" spans="1:27" ht="20.399999999999999">
      <c r="D27" s="191" t="s">
        <v>186</v>
      </c>
      <c r="E27" s="122">
        <v>9</v>
      </c>
      <c r="G27" s="191" t="s">
        <v>186</v>
      </c>
      <c r="H27" s="122">
        <v>0</v>
      </c>
      <c r="J27" s="191" t="s">
        <v>309</v>
      </c>
      <c r="K27" s="121">
        <v>6</v>
      </c>
      <c r="M27" s="191" t="s">
        <v>309</v>
      </c>
      <c r="N27" s="121">
        <v>4</v>
      </c>
    </row>
    <row r="28" spans="1:27" ht="20.399999999999999">
      <c r="D28" s="191" t="s">
        <v>310</v>
      </c>
      <c r="E28" s="130">
        <v>44682</v>
      </c>
      <c r="G28" s="191" t="s">
        <v>310</v>
      </c>
      <c r="H28" s="130">
        <v>12145</v>
      </c>
      <c r="J28" s="191" t="s">
        <v>186</v>
      </c>
      <c r="K28" s="122">
        <v>2</v>
      </c>
      <c r="M28" s="191" t="s">
        <v>186</v>
      </c>
      <c r="N28" s="122">
        <v>0</v>
      </c>
    </row>
    <row r="29" spans="1:27" ht="20.399999999999999">
      <c r="D29" s="191" t="s">
        <v>192</v>
      </c>
      <c r="E29" s="122">
        <v>4.76</v>
      </c>
      <c r="G29" s="191" t="s">
        <v>192</v>
      </c>
      <c r="H29" s="122">
        <v>4.57</v>
      </c>
      <c r="J29" s="191" t="s">
        <v>310</v>
      </c>
      <c r="K29" s="237">
        <v>44990</v>
      </c>
      <c r="M29" s="191" t="s">
        <v>310</v>
      </c>
      <c r="N29" s="237">
        <v>45264</v>
      </c>
    </row>
    <row r="30" spans="1:27" ht="20.399999999999999">
      <c r="D30" s="191" t="s">
        <v>193</v>
      </c>
      <c r="E30" s="122">
        <v>29.43</v>
      </c>
      <c r="G30" s="191" t="s">
        <v>193</v>
      </c>
      <c r="H30" s="122">
        <v>45.55</v>
      </c>
      <c r="J30" s="191" t="s">
        <v>192</v>
      </c>
      <c r="K30" s="122">
        <v>6.28</v>
      </c>
      <c r="M30" s="191" t="s">
        <v>192</v>
      </c>
      <c r="N30" s="122">
        <v>7.69</v>
      </c>
    </row>
    <row r="31" spans="1:27" ht="30.6">
      <c r="D31" s="191" t="s">
        <v>315</v>
      </c>
      <c r="E31" s="122">
        <v>21.4</v>
      </c>
      <c r="G31" s="191" t="s">
        <v>315</v>
      </c>
      <c r="H31" s="122">
        <v>7.83</v>
      </c>
      <c r="J31" s="191" t="s">
        <v>193</v>
      </c>
      <c r="K31" s="122">
        <v>13.74</v>
      </c>
      <c r="M31" s="191" t="s">
        <v>193</v>
      </c>
      <c r="N31" s="122">
        <v>15.9</v>
      </c>
    </row>
    <row r="32" spans="1:27" ht="30.6">
      <c r="D32" s="221"/>
      <c r="E32" s="221"/>
      <c r="G32" s="221"/>
      <c r="H32" s="221"/>
      <c r="J32" s="191" t="s">
        <v>315</v>
      </c>
      <c r="K32" s="122">
        <v>24.35</v>
      </c>
      <c r="M32" s="191" t="s">
        <v>315</v>
      </c>
      <c r="N32" s="122">
        <v>21.56</v>
      </c>
    </row>
    <row r="33" spans="10:14">
      <c r="J33" s="221"/>
      <c r="K33" s="221"/>
      <c r="M33" s="221"/>
      <c r="N33" s="221"/>
    </row>
  </sheetData>
  <mergeCells count="20">
    <mergeCell ref="J33:K33"/>
    <mergeCell ref="M2:N2"/>
    <mergeCell ref="M19:N19"/>
    <mergeCell ref="M20:N20"/>
    <mergeCell ref="M33:N33"/>
    <mergeCell ref="D32:E32"/>
    <mergeCell ref="G2:H2"/>
    <mergeCell ref="G19:H19"/>
    <mergeCell ref="G20:H20"/>
    <mergeCell ref="G32:H32"/>
    <mergeCell ref="J2:K2"/>
    <mergeCell ref="J19:K19"/>
    <mergeCell ref="J20:K20"/>
    <mergeCell ref="A2:B2"/>
    <mergeCell ref="A14:B14"/>
    <mergeCell ref="A15:B15"/>
    <mergeCell ref="A23:B23"/>
    <mergeCell ref="D2:E2"/>
    <mergeCell ref="D19:E19"/>
    <mergeCell ref="D20:E20"/>
  </mergeCells>
  <hyperlinks>
    <hyperlink ref="B3" r:id="rId1" display="http://www.howstat.com/cricket/Statistics/Players/PlayerProgressBat_ODI.asp?PlayerID=3909" xr:uid="{37A86289-739F-43F0-8A85-45967BD3159B}"/>
    <hyperlink ref="B6" r:id="rId2" display="http://www.howstat.com/cricket/Statistics/Matches/MatchScoreCard_ODI.asp?MatchCode=3984" xr:uid="{F0D5F878-AB67-4B95-B8AF-B32FBA91DD2C}"/>
    <hyperlink ref="B18" r:id="rId3" display="http://www.howstat.com/cricket/Statistics/Players/PlayerProgressBowl_ODI.asp?PlayerID=3909" xr:uid="{5A95A469-AED3-400B-8F88-44B81334F0CB}"/>
    <hyperlink ref="B20" r:id="rId4" display="http://www.howstat.com/cricket/Statistics/Players/PlayerNotables_ODI.asp?PlayerID=3909&amp;s=3" xr:uid="{B1DE5829-DCC5-462A-B91B-4727EA3EFC54}"/>
    <hyperlink ref="B21" r:id="rId5" display="http://www.howstat.com/cricket/Statistics/Players/PlayerNotables_ODI.asp?PlayerID=3909&amp;s=3" xr:uid="{A8F41690-D502-449F-8D2D-F409EB44FA98}"/>
    <hyperlink ref="B22" r:id="rId6" display="http://www.howstat.com/cricket/Statistics/Matches/MatchScoreCard_ODI.asp?MatchCode=4268" xr:uid="{2DFE94D2-B71A-42F2-9811-0F2C26EE03F7}"/>
    <hyperlink ref="E3" r:id="rId7" display="http://www.howstat.com/cricket/Statistics/Players/PlayerProgressBat_ODI.asp?PlayerID=2205" xr:uid="{563A27E2-A4D9-4E7F-A320-C1C0D3CD909F}"/>
    <hyperlink ref="E6" r:id="rId8" display="http://www.howstat.com/cricket/Statistics/Matches/MatchScoreCard_ODI.asp?MatchCode=3404" xr:uid="{F4B41ACF-5651-4327-A732-6D18764F895A}"/>
    <hyperlink ref="E24" r:id="rId9" display="http://www.howstat.com/cricket/Statistics/Players/PlayerProgressBowl_ODI.asp?PlayerID=2205" xr:uid="{B960685B-81AE-4D6A-AD2D-75862A87AC99}"/>
    <hyperlink ref="E26" r:id="rId10" display="http://www.howstat.com/cricket/Statistics/Players/PlayerNotables_ODI.asp?PlayerID=2205&amp;s=3" xr:uid="{673B881C-33D3-4A0D-B350-A9544A874861}"/>
    <hyperlink ref="E28" r:id="rId11" display="http://www.howstat.com/cricket/Statistics/Matches/MatchScoreCard_ODI.asp?MatchCode=2415" xr:uid="{0FA7120F-5992-4FE4-9EC1-9563E58707B5}"/>
    <hyperlink ref="H3" r:id="rId12" display="http://www.howstat.com/cricket/Statistics/Players/PlayerProgressBat_ODI.asp?PlayerID=1873" xr:uid="{88718134-9878-42BD-B05A-BC3866840E2B}"/>
    <hyperlink ref="H6" r:id="rId13" display="http://www.howstat.com/cricket/Statistics/Matches/MatchScoreCard_ODI.asp?MatchCode=1564" xr:uid="{27B3F641-CC78-4D8F-BBAB-2B86948F6C55}"/>
    <hyperlink ref="H9" r:id="rId14" display="http://www.howstat.com/cricket/Statistics/Players/PlayerNotables_ODI.asp?PlayerID=1873&amp;s=2" xr:uid="{EBD65EA7-0ACB-42DE-AEBC-A88C156CE262}"/>
    <hyperlink ref="H24" r:id="rId15" display="http://www.howstat.com/cricket/Statistics/Players/PlayerProgressBowl_ODI.asp?PlayerID=1873" xr:uid="{031B7EEA-0DBD-4D4E-80A4-6FB6C9077DB5}"/>
    <hyperlink ref="H26" r:id="rId16" display="http://www.howstat.com/cricket/Statistics/Players/PlayerNotables_ODI.asp?PlayerID=1873&amp;s=3" xr:uid="{06EED8F1-3AC6-4EBD-AC5B-5D1BE9BC3CFA}"/>
    <hyperlink ref="H28" r:id="rId17" display="http://www.howstat.com/cricket/Statistics/Matches/MatchScoreCard_ODI.asp?MatchCode=0556" xr:uid="{62C80E11-3A07-455E-85AB-099802B3436D}"/>
    <hyperlink ref="K3" r:id="rId18" display="http://www.howstat.com/cricket/Statistics/Players/PlayerProgressBat_T20.asp?PlayerID=4484" xr:uid="{DFD2FE30-F6DF-4904-9F1F-333B3D84A600}"/>
    <hyperlink ref="K6" r:id="rId19" display="http://www.howstat.com/cricket/Statistics/Matches/MatchScoreCard_T20.asp?MatchCode=1915" xr:uid="{D8A53C60-DD81-48BA-93FA-AB693D23AB15}"/>
    <hyperlink ref="K24" r:id="rId20" display="http://www.howstat.com/cricket/Statistics/Players/PlayerProgressBowl_T20.asp?PlayerID=4484" xr:uid="{C9ABB126-978B-4E31-ABA4-5439B56A7765}"/>
    <hyperlink ref="K27" r:id="rId21" display="http://www.howstat.com/cricket/Statistics/Players/PlayerNotables_T20.asp?PlayerID=4484&amp;s=3" xr:uid="{181605A7-DD1D-451F-A62C-6320B82E2C77}"/>
    <hyperlink ref="K29" r:id="rId22" display="http://www.howstat.com/cricket/Statistics/Matches/MatchScoreCard_T20.asp?MatchCode=0614" xr:uid="{2AAD027D-5047-4415-A2A8-04241F131EBB}"/>
    <hyperlink ref="N3" r:id="rId23" display="http://www.howstat.com/cricket/Statistics/Players/PlayerProgressBat_T20.asp?PlayerID=3799" xr:uid="{2EBE46F3-DA4B-402A-94A1-7A2B7D536C64}"/>
    <hyperlink ref="N6" r:id="rId24" display="http://www.howstat.com/cricket/Statistics/Matches/MatchScoreCard_T20.asp?MatchCode=1238" xr:uid="{5D547FBB-23E0-4493-B927-922D44AFA01F}"/>
    <hyperlink ref="N24" r:id="rId25" display="http://www.howstat.com/cricket/Statistics/Players/PlayerProgressBowl_T20.asp?PlayerID=3799" xr:uid="{B7FDDA13-E824-446F-9398-45906BFB9CD4}"/>
    <hyperlink ref="N27" r:id="rId26" display="http://www.howstat.com/cricket/Statistics/Players/PlayerNotables_T20.asp?PlayerID=3799&amp;s=3" xr:uid="{D6DB39CD-BD8F-4A05-A383-14793DB0C654}"/>
    <hyperlink ref="N29" r:id="rId27" display="http://www.howstat.com/cricket/Statistics/Matches/MatchScoreCard_T20.asp?MatchCode=1505" xr:uid="{7FD75CBD-B1BD-4F10-A44C-A69EA92A33FC}"/>
  </hyperlinks>
  <pageMargins left="0.7" right="0.7" top="0.75" bottom="0.75" header="0.3" footer="0.3"/>
  <pageSetup paperSize="9" orientation="portrait" horizontalDpi="0" verticalDpi="0" r:id="rId2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2D018-22D1-43F6-9E34-DE2AFC3729DE}">
  <sheetPr codeName="Sheet9"/>
  <dimension ref="B1:AW182"/>
  <sheetViews>
    <sheetView topLeftCell="V36" workbookViewId="0">
      <selection activeCell="AH50" sqref="AH50"/>
    </sheetView>
  </sheetViews>
  <sheetFormatPr defaultRowHeight="14.4"/>
  <cols>
    <col min="2" max="8" width="4.33203125" customWidth="1"/>
    <col min="9" max="9" width="8.88671875" style="100"/>
    <col min="10" max="16" width="3.88671875" customWidth="1"/>
    <col min="17" max="17" width="6.109375" customWidth="1"/>
    <col min="18" max="18" width="3.88671875" customWidth="1"/>
    <col min="21" max="21" width="17.88671875" style="2" bestFit="1" customWidth="1"/>
    <col min="22" max="22" width="8.6640625" style="2" bestFit="1" customWidth="1"/>
    <col min="29" max="35" width="8.109375" customWidth="1"/>
    <col min="38" max="38" width="5.5546875" customWidth="1"/>
    <col min="39" max="41" width="3.77734375" customWidth="1"/>
    <col min="42" max="42" width="5.5546875" bestFit="1" customWidth="1"/>
    <col min="43" max="48" width="3.77734375" customWidth="1"/>
  </cols>
  <sheetData>
    <row r="1" spans="2:49">
      <c r="D1" s="220" t="s">
        <v>102</v>
      </c>
      <c r="E1" s="220"/>
      <c r="F1" s="220"/>
      <c r="G1" s="220"/>
      <c r="H1" s="220"/>
    </row>
    <row r="2" spans="2:49" ht="15" thickBot="1">
      <c r="D2">
        <v>1</v>
      </c>
      <c r="E2">
        <v>2</v>
      </c>
      <c r="F2">
        <v>3</v>
      </c>
      <c r="G2">
        <v>4</v>
      </c>
      <c r="H2">
        <v>5</v>
      </c>
      <c r="K2" s="98" t="s">
        <v>35</v>
      </c>
      <c r="L2" s="98">
        <v>0</v>
      </c>
      <c r="M2" s="98">
        <v>1</v>
      </c>
      <c r="N2" s="98">
        <v>2</v>
      </c>
      <c r="O2" s="98">
        <v>3</v>
      </c>
      <c r="P2" s="98">
        <v>4</v>
      </c>
      <c r="Q2" s="98">
        <v>5</v>
      </c>
      <c r="R2" s="98">
        <v>6</v>
      </c>
      <c r="V2" s="2" t="s">
        <v>12</v>
      </c>
      <c r="W2" s="105" t="s">
        <v>124</v>
      </c>
      <c r="X2" s="105" t="s">
        <v>125</v>
      </c>
      <c r="Y2" s="105" t="s">
        <v>126</v>
      </c>
      <c r="Z2" s="105" t="s">
        <v>127</v>
      </c>
      <c r="AA2" s="105" t="s">
        <v>128</v>
      </c>
      <c r="AB2" s="105" t="s">
        <v>129</v>
      </c>
      <c r="AC2" s="105" t="s">
        <v>130</v>
      </c>
      <c r="AD2" s="105" t="s">
        <v>131</v>
      </c>
      <c r="AE2" s="105" t="s">
        <v>132</v>
      </c>
      <c r="AF2" s="105" t="s">
        <v>133</v>
      </c>
      <c r="AG2" s="105" t="s">
        <v>134</v>
      </c>
      <c r="AH2" s="105" t="s">
        <v>5</v>
      </c>
      <c r="AI2" s="105" t="s">
        <v>6</v>
      </c>
    </row>
    <row r="3" spans="2:49" ht="15" thickBot="1">
      <c r="B3" s="224" t="s">
        <v>103</v>
      </c>
      <c r="C3">
        <v>1</v>
      </c>
      <c r="D3" t="s">
        <v>106</v>
      </c>
      <c r="E3" t="s">
        <v>107</v>
      </c>
      <c r="F3" t="s">
        <v>108</v>
      </c>
      <c r="G3" t="s">
        <v>109</v>
      </c>
      <c r="H3" t="s">
        <v>110</v>
      </c>
      <c r="I3" s="215" t="s">
        <v>104</v>
      </c>
      <c r="J3" s="97" t="s">
        <v>110</v>
      </c>
      <c r="K3">
        <v>2</v>
      </c>
      <c r="L3">
        <v>10</v>
      </c>
      <c r="M3">
        <v>8</v>
      </c>
      <c r="N3">
        <v>20</v>
      </c>
      <c r="O3">
        <v>15</v>
      </c>
      <c r="P3">
        <v>24</v>
      </c>
      <c r="Q3">
        <v>1</v>
      </c>
      <c r="R3">
        <v>20</v>
      </c>
      <c r="T3">
        <f t="shared" ref="T3:T10" si="0">100-SUM(K3:R3)</f>
        <v>0</v>
      </c>
      <c r="W3" s="107">
        <v>118</v>
      </c>
      <c r="X3" s="107">
        <v>215</v>
      </c>
      <c r="Y3" s="107">
        <v>6</v>
      </c>
      <c r="Z3" s="108">
        <v>8900</v>
      </c>
      <c r="AA3" s="107">
        <v>333</v>
      </c>
      <c r="AB3" s="107">
        <v>42.58</v>
      </c>
      <c r="AC3" s="107">
        <v>18075</v>
      </c>
      <c r="AD3" s="107">
        <v>49.23</v>
      </c>
      <c r="AE3" s="107">
        <v>20</v>
      </c>
      <c r="AF3" s="107">
        <v>46</v>
      </c>
      <c r="AG3" s="107">
        <v>13</v>
      </c>
      <c r="AH3" s="107">
        <v>1079</v>
      </c>
      <c r="AI3" s="107">
        <v>25</v>
      </c>
    </row>
    <row r="4" spans="2:49">
      <c r="B4" s="224"/>
      <c r="C4">
        <v>2</v>
      </c>
      <c r="D4" t="s">
        <v>111</v>
      </c>
      <c r="E4" t="s">
        <v>106</v>
      </c>
      <c r="F4" t="s">
        <v>107</v>
      </c>
      <c r="G4" t="s">
        <v>108</v>
      </c>
      <c r="H4" t="s">
        <v>109</v>
      </c>
      <c r="I4" s="215"/>
      <c r="J4" s="97" t="s">
        <v>109</v>
      </c>
      <c r="K4">
        <v>4</v>
      </c>
      <c r="L4">
        <v>15</v>
      </c>
      <c r="M4">
        <v>12</v>
      </c>
      <c r="N4">
        <v>16</v>
      </c>
      <c r="O4">
        <v>16</v>
      </c>
      <c r="P4">
        <v>22</v>
      </c>
      <c r="Q4">
        <v>1</v>
      </c>
      <c r="R4">
        <v>14</v>
      </c>
      <c r="T4">
        <f t="shared" si="0"/>
        <v>0</v>
      </c>
      <c r="X4" t="s">
        <v>135</v>
      </c>
      <c r="AC4" t="s">
        <v>140</v>
      </c>
      <c r="AD4" t="s">
        <v>134</v>
      </c>
      <c r="AE4" t="s">
        <v>139</v>
      </c>
      <c r="AF4" t="s">
        <v>138</v>
      </c>
      <c r="AG4" t="s">
        <v>137</v>
      </c>
      <c r="AH4">
        <f>AH3*4</f>
        <v>4316</v>
      </c>
      <c r="AI4">
        <f>AI3*6</f>
        <v>150</v>
      </c>
      <c r="AW4" s="158"/>
    </row>
    <row r="5" spans="2:49">
      <c r="B5" s="224"/>
      <c r="C5">
        <v>3</v>
      </c>
      <c r="D5" t="s">
        <v>112</v>
      </c>
      <c r="E5" t="s">
        <v>111</v>
      </c>
      <c r="F5" t="s">
        <v>106</v>
      </c>
      <c r="G5" t="s">
        <v>107</v>
      </c>
      <c r="H5" t="s">
        <v>108</v>
      </c>
      <c r="I5" s="215"/>
      <c r="J5" s="97" t="s">
        <v>108</v>
      </c>
      <c r="K5">
        <v>6</v>
      </c>
      <c r="L5">
        <v>20</v>
      </c>
      <c r="M5">
        <v>10</v>
      </c>
      <c r="N5">
        <v>14</v>
      </c>
      <c r="O5">
        <v>18</v>
      </c>
      <c r="P5">
        <v>19</v>
      </c>
      <c r="Q5">
        <v>1</v>
      </c>
      <c r="R5">
        <v>12</v>
      </c>
      <c r="T5">
        <f t="shared" si="0"/>
        <v>0</v>
      </c>
      <c r="W5" t="s">
        <v>136</v>
      </c>
      <c r="X5">
        <f>(100/AD3)*AB3</f>
        <v>86.491976437131839</v>
      </c>
      <c r="Y5" t="s">
        <v>4</v>
      </c>
      <c r="AE5" s="113">
        <f>100-SUM(AH5:AI5)</f>
        <v>49.820224719101127</v>
      </c>
      <c r="AF5" s="113">
        <f>100-SUM(AH5:AI5)</f>
        <v>49.820224719101127</v>
      </c>
      <c r="AG5" s="113">
        <f>100-SUM(AH5:AI5)</f>
        <v>49.820224719101127</v>
      </c>
      <c r="AH5" s="114">
        <f>AH4*100/Z3</f>
        <v>48.49438202247191</v>
      </c>
      <c r="AI5" s="114">
        <f>AI4*100/Z3</f>
        <v>1.6853932584269662</v>
      </c>
    </row>
    <row r="6" spans="2:49">
      <c r="B6" s="224"/>
      <c r="C6">
        <v>4</v>
      </c>
      <c r="D6" t="s">
        <v>113</v>
      </c>
      <c r="E6" t="s">
        <v>112</v>
      </c>
      <c r="F6" t="s">
        <v>111</v>
      </c>
      <c r="G6" t="s">
        <v>106</v>
      </c>
      <c r="H6" t="s">
        <v>107</v>
      </c>
      <c r="I6" s="215"/>
      <c r="J6" s="97" t="s">
        <v>107</v>
      </c>
      <c r="K6">
        <v>8</v>
      </c>
      <c r="L6">
        <v>25</v>
      </c>
      <c r="M6">
        <v>12</v>
      </c>
      <c r="N6">
        <v>12</v>
      </c>
      <c r="O6">
        <v>15</v>
      </c>
      <c r="P6">
        <v>17</v>
      </c>
      <c r="Q6">
        <v>1</v>
      </c>
      <c r="R6">
        <v>10</v>
      </c>
      <c r="T6">
        <f t="shared" si="0"/>
        <v>0</v>
      </c>
      <c r="AC6" s="220">
        <f>100-AE6</f>
        <v>50.77</v>
      </c>
      <c r="AD6" s="220"/>
      <c r="AE6" s="2">
        <v>49.23</v>
      </c>
      <c r="AF6" s="2">
        <v>49.23</v>
      </c>
      <c r="AG6" s="2">
        <v>49.23</v>
      </c>
      <c r="AH6" s="2">
        <v>49.23</v>
      </c>
      <c r="AI6" s="2">
        <v>49.23</v>
      </c>
    </row>
    <row r="7" spans="2:49">
      <c r="B7" s="224"/>
      <c r="C7">
        <v>5</v>
      </c>
      <c r="D7" t="s">
        <v>114</v>
      </c>
      <c r="E7" t="s">
        <v>113</v>
      </c>
      <c r="F7" t="s">
        <v>112</v>
      </c>
      <c r="G7" t="s">
        <v>111</v>
      </c>
      <c r="H7" t="s">
        <v>106</v>
      </c>
      <c r="J7" s="97" t="s">
        <v>106</v>
      </c>
      <c r="K7">
        <v>10</v>
      </c>
      <c r="L7">
        <v>35</v>
      </c>
      <c r="M7">
        <v>10</v>
      </c>
      <c r="N7">
        <v>12</v>
      </c>
      <c r="O7">
        <v>10</v>
      </c>
      <c r="P7">
        <v>14</v>
      </c>
      <c r="Q7">
        <v>1</v>
      </c>
      <c r="R7">
        <v>8</v>
      </c>
      <c r="T7">
        <f t="shared" si="0"/>
        <v>0</v>
      </c>
      <c r="AC7" s="112">
        <f>100/X5</f>
        <v>1.156176608736496</v>
      </c>
      <c r="AD7" s="112">
        <f>AC6-AC7</f>
        <v>49.613823391263509</v>
      </c>
      <c r="AE7">
        <f>AE6*(3*(AE5/6))/100</f>
        <v>12.263248314606741</v>
      </c>
      <c r="AF7">
        <f>AE6*(2*(AE5/6))/100</f>
        <v>8.1754988764044949</v>
      </c>
      <c r="AG7">
        <f>AE6*(1*(AE5/6))/100</f>
        <v>4.0877494382022475</v>
      </c>
      <c r="AH7">
        <f>(AH5/100)*AE6</f>
        <v>23.87378426966292</v>
      </c>
      <c r="AI7">
        <f>(AI5/100)*AE6</f>
        <v>0.82971910112359548</v>
      </c>
      <c r="AK7" s="110">
        <f>SUM(AC7:AI7)</f>
        <v>100.00000000000001</v>
      </c>
    </row>
    <row r="8" spans="2:49">
      <c r="I8" s="215" t="s">
        <v>105</v>
      </c>
      <c r="J8" s="97" t="s">
        <v>111</v>
      </c>
      <c r="K8">
        <v>12</v>
      </c>
      <c r="L8">
        <v>35</v>
      </c>
      <c r="M8">
        <v>15</v>
      </c>
      <c r="N8">
        <v>12</v>
      </c>
      <c r="O8">
        <v>8</v>
      </c>
      <c r="P8">
        <v>11</v>
      </c>
      <c r="Q8">
        <v>1</v>
      </c>
      <c r="R8">
        <v>6</v>
      </c>
      <c r="T8">
        <f t="shared" si="0"/>
        <v>0</v>
      </c>
      <c r="AC8" s="129">
        <f>ROUND(AC7,0)</f>
        <v>1</v>
      </c>
      <c r="AD8" s="129">
        <f t="shared" ref="AD8:AI8" si="1">ROUND(AD7,0)</f>
        <v>50</v>
      </c>
      <c r="AE8" s="129">
        <f t="shared" si="1"/>
        <v>12</v>
      </c>
      <c r="AF8" s="129">
        <f t="shared" si="1"/>
        <v>8</v>
      </c>
      <c r="AG8" s="129">
        <f t="shared" si="1"/>
        <v>4</v>
      </c>
      <c r="AH8" s="129">
        <f t="shared" si="1"/>
        <v>24</v>
      </c>
      <c r="AI8" s="129">
        <f t="shared" si="1"/>
        <v>1</v>
      </c>
      <c r="AK8" s="110">
        <f>SUM(AC8:AI8)</f>
        <v>100</v>
      </c>
    </row>
    <row r="9" spans="2:49">
      <c r="I9" s="215"/>
      <c r="J9" s="97" t="s">
        <v>112</v>
      </c>
      <c r="K9">
        <v>14</v>
      </c>
      <c r="L9">
        <v>40</v>
      </c>
      <c r="M9">
        <v>14</v>
      </c>
      <c r="N9">
        <v>10</v>
      </c>
      <c r="O9">
        <v>8</v>
      </c>
      <c r="P9">
        <v>9</v>
      </c>
      <c r="Q9">
        <v>1</v>
      </c>
      <c r="R9">
        <v>4</v>
      </c>
      <c r="T9">
        <f t="shared" si="0"/>
        <v>0</v>
      </c>
    </row>
    <row r="10" spans="2:49">
      <c r="I10" s="215"/>
      <c r="J10" s="97" t="s">
        <v>113</v>
      </c>
      <c r="K10">
        <v>16</v>
      </c>
      <c r="L10">
        <v>45</v>
      </c>
      <c r="M10">
        <v>16</v>
      </c>
      <c r="N10">
        <v>9</v>
      </c>
      <c r="O10">
        <v>4</v>
      </c>
      <c r="P10">
        <v>7</v>
      </c>
      <c r="Q10">
        <v>1</v>
      </c>
      <c r="R10">
        <v>2</v>
      </c>
      <c r="T10">
        <f t="shared" si="0"/>
        <v>0</v>
      </c>
      <c r="AA10" t="s">
        <v>141</v>
      </c>
    </row>
    <row r="11" spans="2:49">
      <c r="D11" s="220" t="s">
        <v>102</v>
      </c>
      <c r="E11" s="220"/>
      <c r="F11" s="220"/>
      <c r="G11" s="220"/>
      <c r="H11" s="220"/>
      <c r="I11" s="215"/>
      <c r="J11" s="97" t="s">
        <v>114</v>
      </c>
      <c r="K11">
        <v>18</v>
      </c>
      <c r="L11">
        <v>50</v>
      </c>
      <c r="M11">
        <v>18</v>
      </c>
      <c r="N11">
        <v>8</v>
      </c>
      <c r="O11">
        <v>2</v>
      </c>
      <c r="P11">
        <v>2</v>
      </c>
      <c r="Q11">
        <v>1</v>
      </c>
      <c r="R11">
        <v>1</v>
      </c>
      <c r="T11">
        <f>100-SUM(K11:R11)</f>
        <v>0</v>
      </c>
      <c r="AA11" t="s">
        <v>142</v>
      </c>
      <c r="AJ11" t="s">
        <v>147</v>
      </c>
    </row>
    <row r="12" spans="2:49">
      <c r="D12">
        <v>1</v>
      </c>
      <c r="E12">
        <v>2</v>
      </c>
      <c r="F12">
        <v>3</v>
      </c>
      <c r="G12">
        <v>4</v>
      </c>
      <c r="H12">
        <v>5</v>
      </c>
      <c r="AA12" t="s">
        <v>143</v>
      </c>
    </row>
    <row r="13" spans="2:49">
      <c r="B13" s="224" t="s">
        <v>103</v>
      </c>
      <c r="C13">
        <v>1</v>
      </c>
      <c r="D13" t="str">
        <f>D$12&amp;$C13</f>
        <v>11</v>
      </c>
      <c r="E13" t="str">
        <f t="shared" ref="E13:H17" si="2">E$12&amp;$C13</f>
        <v>21</v>
      </c>
      <c r="F13" t="str">
        <f t="shared" si="2"/>
        <v>31</v>
      </c>
      <c r="G13" t="str">
        <f t="shared" si="2"/>
        <v>41</v>
      </c>
      <c r="H13" t="str">
        <f t="shared" si="2"/>
        <v>51</v>
      </c>
      <c r="K13" s="98" t="s">
        <v>35</v>
      </c>
      <c r="L13" s="98">
        <v>0</v>
      </c>
      <c r="M13" s="98">
        <v>1</v>
      </c>
      <c r="N13" s="98">
        <v>2</v>
      </c>
      <c r="O13" s="98">
        <v>3</v>
      </c>
      <c r="P13" s="98">
        <v>4</v>
      </c>
      <c r="Q13" s="98">
        <v>5</v>
      </c>
      <c r="R13" s="98">
        <v>6</v>
      </c>
      <c r="AA13" t="s">
        <v>144</v>
      </c>
    </row>
    <row r="14" spans="2:49">
      <c r="B14" s="224"/>
      <c r="C14">
        <v>2</v>
      </c>
      <c r="D14" t="str">
        <f>D$12&amp;$C14</f>
        <v>12</v>
      </c>
      <c r="E14" t="str">
        <f t="shared" si="2"/>
        <v>22</v>
      </c>
      <c r="F14" t="str">
        <f t="shared" si="2"/>
        <v>32</v>
      </c>
      <c r="G14" t="str">
        <f t="shared" si="2"/>
        <v>42</v>
      </c>
      <c r="H14" t="str">
        <f t="shared" si="2"/>
        <v>52</v>
      </c>
      <c r="J14" s="97" t="s">
        <v>110</v>
      </c>
      <c r="K14">
        <v>0</v>
      </c>
      <c r="L14">
        <f t="shared" ref="L14:L22" si="3">K3</f>
        <v>2</v>
      </c>
      <c r="M14">
        <f t="shared" ref="M14:S22" si="4">L14+L3</f>
        <v>12</v>
      </c>
      <c r="N14">
        <f t="shared" si="4"/>
        <v>20</v>
      </c>
      <c r="O14">
        <f t="shared" si="4"/>
        <v>40</v>
      </c>
      <c r="P14">
        <f t="shared" si="4"/>
        <v>55</v>
      </c>
      <c r="Q14">
        <f t="shared" si="4"/>
        <v>79</v>
      </c>
      <c r="R14">
        <f t="shared" si="4"/>
        <v>80</v>
      </c>
      <c r="S14">
        <f t="shared" si="4"/>
        <v>100</v>
      </c>
    </row>
    <row r="15" spans="2:49">
      <c r="B15" s="224"/>
      <c r="C15">
        <v>3</v>
      </c>
      <c r="D15" t="str">
        <f>D$12&amp;$C15</f>
        <v>13</v>
      </c>
      <c r="E15" t="str">
        <f t="shared" si="2"/>
        <v>23</v>
      </c>
      <c r="F15" t="str">
        <f t="shared" si="2"/>
        <v>33</v>
      </c>
      <c r="G15" t="str">
        <f t="shared" si="2"/>
        <v>43</v>
      </c>
      <c r="H15" t="str">
        <f t="shared" si="2"/>
        <v>53</v>
      </c>
      <c r="J15" s="97" t="s">
        <v>109</v>
      </c>
      <c r="K15">
        <v>0</v>
      </c>
      <c r="L15">
        <f t="shared" si="3"/>
        <v>4</v>
      </c>
      <c r="M15">
        <f t="shared" si="4"/>
        <v>19</v>
      </c>
      <c r="N15">
        <f t="shared" si="4"/>
        <v>31</v>
      </c>
      <c r="O15">
        <f t="shared" si="4"/>
        <v>47</v>
      </c>
      <c r="P15">
        <f t="shared" si="4"/>
        <v>63</v>
      </c>
      <c r="Q15">
        <f t="shared" si="4"/>
        <v>85</v>
      </c>
      <c r="R15">
        <f t="shared" si="4"/>
        <v>86</v>
      </c>
      <c r="S15">
        <f t="shared" si="4"/>
        <v>100</v>
      </c>
      <c r="AD15" s="109"/>
      <c r="AN15">
        <v>1</v>
      </c>
      <c r="AO15">
        <v>68</v>
      </c>
      <c r="AP15">
        <v>9</v>
      </c>
      <c r="AQ15">
        <v>6</v>
      </c>
      <c r="AR15">
        <v>3</v>
      </c>
      <c r="AS15">
        <v>12</v>
      </c>
      <c r="AT15">
        <v>0</v>
      </c>
    </row>
    <row r="16" spans="2:49">
      <c r="B16" s="224"/>
      <c r="C16">
        <v>4</v>
      </c>
      <c r="D16" t="str">
        <f>D$12&amp;$C16</f>
        <v>14</v>
      </c>
      <c r="E16" t="str">
        <f t="shared" si="2"/>
        <v>24</v>
      </c>
      <c r="F16" t="str">
        <f t="shared" si="2"/>
        <v>34</v>
      </c>
      <c r="G16" t="str">
        <f t="shared" si="2"/>
        <v>44</v>
      </c>
      <c r="H16" t="str">
        <f t="shared" si="2"/>
        <v>54</v>
      </c>
      <c r="J16" s="97" t="s">
        <v>108</v>
      </c>
      <c r="K16">
        <v>0</v>
      </c>
      <c r="L16">
        <f t="shared" si="3"/>
        <v>6</v>
      </c>
      <c r="M16">
        <f t="shared" si="4"/>
        <v>26</v>
      </c>
      <c r="N16">
        <f t="shared" si="4"/>
        <v>36</v>
      </c>
      <c r="O16">
        <f t="shared" si="4"/>
        <v>50</v>
      </c>
      <c r="P16">
        <f t="shared" si="4"/>
        <v>68</v>
      </c>
      <c r="Q16">
        <f t="shared" si="4"/>
        <v>87</v>
      </c>
      <c r="R16">
        <f t="shared" si="4"/>
        <v>88</v>
      </c>
      <c r="S16">
        <f t="shared" si="4"/>
        <v>100</v>
      </c>
    </row>
    <row r="17" spans="2:49" ht="15" thickBot="1">
      <c r="B17" s="224"/>
      <c r="C17">
        <v>5</v>
      </c>
      <c r="D17" t="str">
        <f>D$12&amp;$C17</f>
        <v>15</v>
      </c>
      <c r="E17" t="str">
        <f t="shared" si="2"/>
        <v>25</v>
      </c>
      <c r="F17" t="str">
        <f t="shared" si="2"/>
        <v>35</v>
      </c>
      <c r="G17" t="str">
        <f t="shared" si="2"/>
        <v>45</v>
      </c>
      <c r="H17" t="str">
        <f t="shared" si="2"/>
        <v>55</v>
      </c>
      <c r="J17" s="97" t="s">
        <v>107</v>
      </c>
      <c r="K17">
        <v>0</v>
      </c>
      <c r="L17">
        <f t="shared" si="3"/>
        <v>8</v>
      </c>
      <c r="M17">
        <f t="shared" si="4"/>
        <v>33</v>
      </c>
      <c r="N17">
        <f t="shared" si="4"/>
        <v>45</v>
      </c>
      <c r="O17">
        <f t="shared" si="4"/>
        <v>57</v>
      </c>
      <c r="P17">
        <f t="shared" si="4"/>
        <v>72</v>
      </c>
      <c r="Q17">
        <f t="shared" si="4"/>
        <v>89</v>
      </c>
      <c r="R17">
        <f t="shared" si="4"/>
        <v>90</v>
      </c>
      <c r="S17">
        <f t="shared" si="4"/>
        <v>100</v>
      </c>
      <c r="U17" s="123"/>
      <c r="V17" s="104" t="s">
        <v>123</v>
      </c>
      <c r="W17" s="117" t="s">
        <v>124</v>
      </c>
      <c r="X17" s="117" t="s">
        <v>125</v>
      </c>
      <c r="Y17" s="117" t="s">
        <v>126</v>
      </c>
      <c r="Z17" s="117" t="s">
        <v>127</v>
      </c>
      <c r="AA17" s="117" t="s">
        <v>128</v>
      </c>
      <c r="AB17" s="117" t="s">
        <v>129</v>
      </c>
      <c r="AC17" s="117" t="s">
        <v>130</v>
      </c>
      <c r="AD17" s="117" t="s">
        <v>131</v>
      </c>
      <c r="AE17" s="117" t="s">
        <v>132</v>
      </c>
      <c r="AF17" s="117" t="s">
        <v>133</v>
      </c>
      <c r="AG17" s="117" t="s">
        <v>134</v>
      </c>
      <c r="AH17" s="117" t="s">
        <v>5</v>
      </c>
      <c r="AI17" s="117" t="s">
        <v>6</v>
      </c>
      <c r="AL17" s="100"/>
      <c r="AN17" s="98" t="s">
        <v>35</v>
      </c>
      <c r="AO17" s="98">
        <v>0</v>
      </c>
      <c r="AP17" s="98">
        <v>1</v>
      </c>
      <c r="AQ17" s="98">
        <v>2</v>
      </c>
      <c r="AR17" s="98">
        <v>3</v>
      </c>
      <c r="AS17" s="98">
        <v>4</v>
      </c>
      <c r="AT17" s="98">
        <v>5</v>
      </c>
      <c r="AU17" s="98">
        <v>6</v>
      </c>
    </row>
    <row r="18" spans="2:49" ht="15" thickBot="1">
      <c r="J18" s="97" t="s">
        <v>106</v>
      </c>
      <c r="K18">
        <v>0</v>
      </c>
      <c r="L18">
        <f t="shared" si="3"/>
        <v>10</v>
      </c>
      <c r="M18">
        <f t="shared" si="4"/>
        <v>45</v>
      </c>
      <c r="N18">
        <f t="shared" si="4"/>
        <v>55</v>
      </c>
      <c r="O18">
        <f t="shared" si="4"/>
        <v>67</v>
      </c>
      <c r="P18">
        <f t="shared" si="4"/>
        <v>77</v>
      </c>
      <c r="Q18">
        <f t="shared" si="4"/>
        <v>91</v>
      </c>
      <c r="R18">
        <f t="shared" si="4"/>
        <v>92</v>
      </c>
      <c r="S18">
        <f t="shared" si="4"/>
        <v>100</v>
      </c>
      <c r="U18" s="123"/>
      <c r="V18" s="124" t="s">
        <v>159</v>
      </c>
      <c r="W18" s="118">
        <v>103</v>
      </c>
      <c r="X18" s="118">
        <v>189</v>
      </c>
      <c r="Y18" s="118">
        <v>14</v>
      </c>
      <c r="Z18" s="119">
        <v>8617</v>
      </c>
      <c r="AA18" s="118">
        <v>254</v>
      </c>
      <c r="AB18" s="118">
        <v>49.24</v>
      </c>
      <c r="AC18" s="118">
        <v>15681</v>
      </c>
      <c r="AD18" s="118">
        <v>54.95</v>
      </c>
      <c r="AE18" s="118">
        <v>20</v>
      </c>
      <c r="AF18" s="118">
        <v>49</v>
      </c>
      <c r="AG18" s="118">
        <v>8</v>
      </c>
      <c r="AH18" s="118">
        <v>950</v>
      </c>
      <c r="AI18" s="118">
        <v>25</v>
      </c>
      <c r="AK18" t="s">
        <v>210</v>
      </c>
      <c r="AL18" s="215" t="s">
        <v>104</v>
      </c>
      <c r="AM18" s="97" t="s">
        <v>110</v>
      </c>
      <c r="AN18">
        <v>1</v>
      </c>
      <c r="AO18">
        <v>16</v>
      </c>
      <c r="AP18">
        <v>15</v>
      </c>
      <c r="AQ18">
        <v>11</v>
      </c>
      <c r="AR18">
        <v>5</v>
      </c>
      <c r="AS18">
        <v>47</v>
      </c>
      <c r="AT18">
        <v>0</v>
      </c>
      <c r="AU18">
        <v>5</v>
      </c>
      <c r="AW18">
        <f t="shared" ref="AW18:AW25" si="5">100-SUM(AN18:AU18)</f>
        <v>0</v>
      </c>
    </row>
    <row r="19" spans="2:49">
      <c r="J19" s="97" t="s">
        <v>111</v>
      </c>
      <c r="K19">
        <v>0</v>
      </c>
      <c r="L19">
        <f t="shared" si="3"/>
        <v>12</v>
      </c>
      <c r="M19">
        <f t="shared" si="4"/>
        <v>47</v>
      </c>
      <c r="N19">
        <f t="shared" si="4"/>
        <v>62</v>
      </c>
      <c r="O19">
        <f t="shared" si="4"/>
        <v>74</v>
      </c>
      <c r="P19">
        <f t="shared" si="4"/>
        <v>82</v>
      </c>
      <c r="Q19">
        <f t="shared" si="4"/>
        <v>93</v>
      </c>
      <c r="R19">
        <f t="shared" si="4"/>
        <v>94</v>
      </c>
      <c r="S19">
        <f t="shared" si="4"/>
        <v>100</v>
      </c>
      <c r="U19" s="123"/>
      <c r="AK19" t="s">
        <v>101</v>
      </c>
      <c r="AL19" s="215"/>
      <c r="AM19" s="97" t="s">
        <v>109</v>
      </c>
      <c r="AN19" s="128">
        <v>1</v>
      </c>
      <c r="AO19" s="128">
        <v>38</v>
      </c>
      <c r="AP19" s="128">
        <v>13</v>
      </c>
      <c r="AQ19" s="128">
        <v>9</v>
      </c>
      <c r="AR19" s="128">
        <v>4</v>
      </c>
      <c r="AS19" s="128">
        <v>32</v>
      </c>
      <c r="AT19" s="128"/>
      <c r="AU19" s="128">
        <v>3</v>
      </c>
      <c r="AW19">
        <f>100-SUM(AN19:AU19)</f>
        <v>0</v>
      </c>
    </row>
    <row r="20" spans="2:49">
      <c r="J20" s="97" t="s">
        <v>112</v>
      </c>
      <c r="K20">
        <v>0</v>
      </c>
      <c r="L20">
        <f t="shared" si="3"/>
        <v>14</v>
      </c>
      <c r="M20">
        <f t="shared" si="4"/>
        <v>54</v>
      </c>
      <c r="N20">
        <f t="shared" si="4"/>
        <v>68</v>
      </c>
      <c r="O20">
        <f t="shared" si="4"/>
        <v>78</v>
      </c>
      <c r="P20">
        <f t="shared" si="4"/>
        <v>86</v>
      </c>
      <c r="Q20">
        <f t="shared" si="4"/>
        <v>95</v>
      </c>
      <c r="R20">
        <f t="shared" si="4"/>
        <v>96</v>
      </c>
      <c r="S20">
        <f t="shared" si="4"/>
        <v>100</v>
      </c>
      <c r="U20" s="123"/>
      <c r="AL20" s="215"/>
      <c r="AM20" s="97" t="s">
        <v>108</v>
      </c>
      <c r="AN20">
        <v>1</v>
      </c>
      <c r="AO20">
        <v>40</v>
      </c>
      <c r="AP20">
        <v>18</v>
      </c>
      <c r="AQ20">
        <v>8</v>
      </c>
      <c r="AR20">
        <v>3</v>
      </c>
      <c r="AS20">
        <v>28</v>
      </c>
      <c r="AU20">
        <v>2</v>
      </c>
      <c r="AW20">
        <f t="shared" si="5"/>
        <v>0</v>
      </c>
    </row>
    <row r="21" spans="2:49">
      <c r="J21" s="97" t="s">
        <v>113</v>
      </c>
      <c r="K21">
        <v>0</v>
      </c>
      <c r="L21">
        <f t="shared" si="3"/>
        <v>16</v>
      </c>
      <c r="M21">
        <f t="shared" si="4"/>
        <v>61</v>
      </c>
      <c r="N21">
        <f t="shared" si="4"/>
        <v>77</v>
      </c>
      <c r="O21">
        <f t="shared" si="4"/>
        <v>86</v>
      </c>
      <c r="P21">
        <f t="shared" si="4"/>
        <v>90</v>
      </c>
      <c r="Q21">
        <f t="shared" si="4"/>
        <v>97</v>
      </c>
      <c r="R21">
        <f t="shared" si="4"/>
        <v>98</v>
      </c>
      <c r="S21">
        <f t="shared" si="4"/>
        <v>100</v>
      </c>
      <c r="U21" s="123"/>
      <c r="Y21" t="s">
        <v>135</v>
      </c>
      <c r="Z21">
        <v>0</v>
      </c>
      <c r="AA21">
        <v>1</v>
      </c>
      <c r="AB21">
        <v>2</v>
      </c>
      <c r="AC21">
        <v>3</v>
      </c>
      <c r="AD21">
        <v>4</v>
      </c>
      <c r="AE21">
        <v>6</v>
      </c>
      <c r="AL21" s="215"/>
      <c r="AM21" s="97" t="s">
        <v>107</v>
      </c>
      <c r="AN21">
        <v>2</v>
      </c>
      <c r="AO21">
        <v>42</v>
      </c>
      <c r="AP21">
        <v>22</v>
      </c>
      <c r="AQ21">
        <v>6</v>
      </c>
      <c r="AR21">
        <v>1</v>
      </c>
      <c r="AS21">
        <v>26</v>
      </c>
      <c r="AU21">
        <v>1</v>
      </c>
      <c r="AW21">
        <f t="shared" si="5"/>
        <v>0</v>
      </c>
    </row>
    <row r="22" spans="2:49">
      <c r="J22" s="97" t="s">
        <v>114</v>
      </c>
      <c r="K22">
        <v>0</v>
      </c>
      <c r="L22">
        <f t="shared" si="3"/>
        <v>18</v>
      </c>
      <c r="M22">
        <f t="shared" si="4"/>
        <v>68</v>
      </c>
      <c r="N22">
        <f t="shared" si="4"/>
        <v>86</v>
      </c>
      <c r="O22">
        <f t="shared" si="4"/>
        <v>94</v>
      </c>
      <c r="P22">
        <f t="shared" si="4"/>
        <v>96</v>
      </c>
      <c r="Q22">
        <f t="shared" si="4"/>
        <v>98</v>
      </c>
      <c r="R22">
        <f t="shared" si="4"/>
        <v>99</v>
      </c>
      <c r="S22">
        <f t="shared" si="4"/>
        <v>100</v>
      </c>
      <c r="U22" s="123"/>
      <c r="X22" t="s">
        <v>149</v>
      </c>
      <c r="Y22" s="220" t="s">
        <v>150</v>
      </c>
      <c r="Z22" s="220"/>
      <c r="AA22" s="220" t="s">
        <v>151</v>
      </c>
      <c r="AB22" s="220"/>
      <c r="AC22" s="220"/>
      <c r="AD22" s="220"/>
      <c r="AE22" s="220"/>
      <c r="AK22" t="s">
        <v>236</v>
      </c>
      <c r="AL22" s="100"/>
      <c r="AM22" s="97" t="s">
        <v>106</v>
      </c>
      <c r="AN22">
        <v>1</v>
      </c>
      <c r="AO22">
        <v>68</v>
      </c>
      <c r="AP22">
        <v>9</v>
      </c>
      <c r="AQ22">
        <v>6</v>
      </c>
      <c r="AR22">
        <v>3</v>
      </c>
      <c r="AS22">
        <v>12</v>
      </c>
      <c r="AT22">
        <v>0</v>
      </c>
      <c r="AU22">
        <v>0</v>
      </c>
      <c r="AW22">
        <f>100-SUM(AN22:AU22)</f>
        <v>1</v>
      </c>
    </row>
    <row r="23" spans="2:49">
      <c r="J23" s="97"/>
      <c r="U23" s="123"/>
      <c r="Y23" s="220">
        <f>100-AD18</f>
        <v>45.05</v>
      </c>
      <c r="Z23" s="220"/>
      <c r="AA23" s="220">
        <f>AD18</f>
        <v>54.95</v>
      </c>
      <c r="AB23" s="220"/>
      <c r="AC23" s="220"/>
      <c r="AD23" s="220"/>
      <c r="AE23" s="220"/>
      <c r="AL23" s="215" t="s">
        <v>105</v>
      </c>
      <c r="AM23" s="97" t="s">
        <v>111</v>
      </c>
      <c r="AN23">
        <v>2</v>
      </c>
      <c r="AO23">
        <v>44</v>
      </c>
      <c r="AP23">
        <v>15</v>
      </c>
      <c r="AQ23">
        <v>10</v>
      </c>
      <c r="AR23">
        <v>5</v>
      </c>
      <c r="AS23">
        <v>23</v>
      </c>
      <c r="AT23">
        <v>0</v>
      </c>
      <c r="AU23">
        <v>1</v>
      </c>
      <c r="AW23">
        <f>100-SUM(AN23:AU23)</f>
        <v>0</v>
      </c>
    </row>
    <row r="24" spans="2:49">
      <c r="AD24">
        <f>AD21*AH18</f>
        <v>3800</v>
      </c>
      <c r="AE24">
        <f>AI18*6</f>
        <v>150</v>
      </c>
      <c r="AK24" t="s">
        <v>211</v>
      </c>
      <c r="AL24" s="215"/>
      <c r="AM24" s="97" t="s">
        <v>112</v>
      </c>
      <c r="AN24">
        <v>4</v>
      </c>
      <c r="AO24">
        <v>56</v>
      </c>
      <c r="AP24">
        <v>9</v>
      </c>
      <c r="AQ24">
        <v>6</v>
      </c>
      <c r="AR24">
        <v>3</v>
      </c>
      <c r="AS24">
        <v>22</v>
      </c>
      <c r="AT24">
        <v>0</v>
      </c>
      <c r="AU24">
        <v>1</v>
      </c>
      <c r="AW24">
        <f t="shared" si="5"/>
        <v>-1</v>
      </c>
    </row>
    <row r="25" spans="2:49">
      <c r="AA25" s="223">
        <f>1-SUM(AD25:AE25)</f>
        <v>0.54160380642915174</v>
      </c>
      <c r="AB25" s="220"/>
      <c r="AC25" s="220"/>
      <c r="AD25" s="102">
        <f>AD24/Z18</f>
        <v>0.44098874318208192</v>
      </c>
      <c r="AE25" s="102">
        <f>AE24/Z18</f>
        <v>1.7407450388766392E-2</v>
      </c>
      <c r="AF25" t="s">
        <v>152</v>
      </c>
      <c r="AK25" t="s">
        <v>233</v>
      </c>
      <c r="AL25" s="215"/>
      <c r="AM25" s="97" t="s">
        <v>113</v>
      </c>
      <c r="AN25">
        <v>8</v>
      </c>
      <c r="AO25">
        <v>56</v>
      </c>
      <c r="AP25">
        <v>7</v>
      </c>
      <c r="AQ25">
        <v>4</v>
      </c>
      <c r="AR25">
        <v>2</v>
      </c>
      <c r="AS25">
        <v>18</v>
      </c>
      <c r="AT25">
        <v>0</v>
      </c>
      <c r="AU25">
        <v>5</v>
      </c>
      <c r="AW25">
        <f t="shared" si="5"/>
        <v>0</v>
      </c>
    </row>
    <row r="26" spans="2:49">
      <c r="AA26" s="115" t="s">
        <v>154</v>
      </c>
      <c r="AB26" s="115" t="s">
        <v>155</v>
      </c>
      <c r="AC26" s="116" t="s">
        <v>156</v>
      </c>
      <c r="AK26" t="s">
        <v>122</v>
      </c>
      <c r="AL26" s="215"/>
      <c r="AM26" s="97" t="s">
        <v>114</v>
      </c>
      <c r="AN26">
        <v>8</v>
      </c>
      <c r="AO26">
        <v>73</v>
      </c>
      <c r="AP26">
        <v>7</v>
      </c>
      <c r="AQ26">
        <v>5</v>
      </c>
      <c r="AR26">
        <v>2</v>
      </c>
      <c r="AS26">
        <v>5</v>
      </c>
      <c r="AT26">
        <v>0</v>
      </c>
      <c r="AU26">
        <v>0</v>
      </c>
      <c r="AW26">
        <f>100-SUM(AN26:AU26)</f>
        <v>0</v>
      </c>
    </row>
    <row r="27" spans="2:49">
      <c r="AA27" s="115">
        <f>(3/6)*AA25</f>
        <v>0.27080190321457587</v>
      </c>
      <c r="AB27" s="115">
        <f>(2/6)*AA25</f>
        <v>0.18053460214305056</v>
      </c>
      <c r="AC27" s="115">
        <f>(1/6)*AA25</f>
        <v>9.026730107152528E-2</v>
      </c>
      <c r="AD27" s="102">
        <f>AD24/Z18</f>
        <v>0.44098874318208192</v>
      </c>
      <c r="AE27" s="102">
        <f>AE24/Z18</f>
        <v>1.7407450388766392E-2</v>
      </c>
      <c r="AF27" t="s">
        <v>153</v>
      </c>
      <c r="AL27" s="100"/>
    </row>
    <row r="28" spans="2:49">
      <c r="J28">
        <f ca="1">_xlfn.XLOOKUP(L28,K18:S18,K13:S13,,-1,2)</f>
        <v>0</v>
      </c>
      <c r="L28">
        <f ca="1">INT(RAND()*100)</f>
        <v>41</v>
      </c>
      <c r="AD28" s="7"/>
      <c r="AE28" s="7"/>
      <c r="AL28" s="100"/>
      <c r="AN28" s="98" t="s">
        <v>35</v>
      </c>
      <c r="AO28" s="98">
        <v>0</v>
      </c>
      <c r="AP28" s="98">
        <v>1</v>
      </c>
      <c r="AQ28" s="98">
        <v>2</v>
      </c>
      <c r="AR28" s="98">
        <v>3</v>
      </c>
      <c r="AS28" s="98">
        <v>4</v>
      </c>
      <c r="AT28" s="98">
        <v>5</v>
      </c>
      <c r="AU28" s="98">
        <v>6</v>
      </c>
    </row>
    <row r="29" spans="2:49">
      <c r="X29" t="s">
        <v>148</v>
      </c>
      <c r="Y29">
        <f>100*AB18/AD18</f>
        <v>89.608735213830755</v>
      </c>
      <c r="AH29" t="s">
        <v>87</v>
      </c>
      <c r="AL29" s="100"/>
      <c r="AM29" s="97" t="s">
        <v>110</v>
      </c>
      <c r="AN29">
        <v>0</v>
      </c>
      <c r="AO29">
        <f t="shared" ref="AO29:AO37" si="6">AN18</f>
        <v>1</v>
      </c>
      <c r="AP29">
        <f t="shared" ref="AP29:AV37" si="7">AO29+AO18</f>
        <v>17</v>
      </c>
      <c r="AQ29">
        <f t="shared" si="7"/>
        <v>32</v>
      </c>
      <c r="AR29">
        <f t="shared" si="7"/>
        <v>43</v>
      </c>
      <c r="AS29">
        <f t="shared" si="7"/>
        <v>48</v>
      </c>
      <c r="AT29">
        <f t="shared" si="7"/>
        <v>95</v>
      </c>
      <c r="AU29">
        <f t="shared" si="7"/>
        <v>95</v>
      </c>
      <c r="AV29">
        <f t="shared" si="7"/>
        <v>100</v>
      </c>
    </row>
    <row r="30" spans="2:49">
      <c r="J30" s="97" t="s">
        <v>110</v>
      </c>
      <c r="K30" s="103">
        <v>51</v>
      </c>
      <c r="X30" t="s">
        <v>146</v>
      </c>
      <c r="Y30">
        <f>100/Y29</f>
        <v>1.1159626320064988</v>
      </c>
      <c r="Z30">
        <f>Y23-Y30</f>
        <v>43.934037367993497</v>
      </c>
      <c r="AA30">
        <f>AA27*AA23</f>
        <v>14.880564581640945</v>
      </c>
      <c r="AB30">
        <f>AB27*AA23</f>
        <v>9.9203763877606281</v>
      </c>
      <c r="AC30">
        <f>AC27*AA23</f>
        <v>4.9601881938803141</v>
      </c>
      <c r="AD30">
        <f>AD27*AA23</f>
        <v>24.232331437855404</v>
      </c>
      <c r="AE30">
        <f>AE27*AA23</f>
        <v>0.95653939886271333</v>
      </c>
      <c r="AF30" t="s">
        <v>157</v>
      </c>
      <c r="AH30">
        <f>SUM(Y30:AE30)</f>
        <v>100.00000000000001</v>
      </c>
      <c r="AL30" s="100"/>
      <c r="AM30" s="97" t="s">
        <v>109</v>
      </c>
      <c r="AN30">
        <v>0</v>
      </c>
      <c r="AO30">
        <f t="shared" si="6"/>
        <v>1</v>
      </c>
      <c r="AP30">
        <f t="shared" si="7"/>
        <v>39</v>
      </c>
      <c r="AQ30">
        <f t="shared" si="7"/>
        <v>52</v>
      </c>
      <c r="AR30">
        <f t="shared" si="7"/>
        <v>61</v>
      </c>
      <c r="AS30">
        <f t="shared" si="7"/>
        <v>65</v>
      </c>
      <c r="AT30">
        <f t="shared" si="7"/>
        <v>97</v>
      </c>
      <c r="AU30">
        <f t="shared" si="7"/>
        <v>97</v>
      </c>
      <c r="AV30">
        <f t="shared" si="7"/>
        <v>100</v>
      </c>
    </row>
    <row r="31" spans="2:49">
      <c r="J31" s="97" t="s">
        <v>109</v>
      </c>
      <c r="K31" s="103" t="s">
        <v>118</v>
      </c>
      <c r="X31" s="128" t="s">
        <v>158</v>
      </c>
      <c r="Y31" s="128">
        <f>ROUND(Y30,0)</f>
        <v>1</v>
      </c>
      <c r="Z31" s="128">
        <f t="shared" ref="Z31:AE31" si="8">ROUND(Z30,0)</f>
        <v>44</v>
      </c>
      <c r="AA31" s="128">
        <f t="shared" si="8"/>
        <v>15</v>
      </c>
      <c r="AB31" s="128">
        <f t="shared" si="8"/>
        <v>10</v>
      </c>
      <c r="AC31" s="128">
        <f t="shared" si="8"/>
        <v>5</v>
      </c>
      <c r="AD31" s="128">
        <f t="shared" si="8"/>
        <v>24</v>
      </c>
      <c r="AE31" s="128">
        <f t="shared" si="8"/>
        <v>1</v>
      </c>
      <c r="AF31" s="128"/>
      <c r="AG31" s="128"/>
      <c r="AH31" s="128">
        <f>SUM(Y31:AE31)</f>
        <v>100</v>
      </c>
      <c r="AL31" s="100"/>
      <c r="AM31" s="97" t="s">
        <v>108</v>
      </c>
      <c r="AN31">
        <v>0</v>
      </c>
      <c r="AO31">
        <f t="shared" si="6"/>
        <v>1</v>
      </c>
      <c r="AP31">
        <f t="shared" si="7"/>
        <v>41</v>
      </c>
      <c r="AQ31">
        <f t="shared" si="7"/>
        <v>59</v>
      </c>
      <c r="AR31">
        <f t="shared" si="7"/>
        <v>67</v>
      </c>
      <c r="AS31">
        <f t="shared" si="7"/>
        <v>70</v>
      </c>
      <c r="AT31">
        <f t="shared" si="7"/>
        <v>98</v>
      </c>
      <c r="AU31">
        <f t="shared" si="7"/>
        <v>98</v>
      </c>
      <c r="AV31">
        <f t="shared" si="7"/>
        <v>100</v>
      </c>
    </row>
    <row r="32" spans="2:49">
      <c r="J32" s="97" t="s">
        <v>108</v>
      </c>
      <c r="K32" s="103" t="s">
        <v>117</v>
      </c>
      <c r="AL32" s="100"/>
      <c r="AM32" s="97" t="s">
        <v>107</v>
      </c>
      <c r="AN32">
        <v>0</v>
      </c>
      <c r="AO32">
        <f t="shared" si="6"/>
        <v>2</v>
      </c>
      <c r="AP32">
        <f t="shared" si="7"/>
        <v>44</v>
      </c>
      <c r="AQ32">
        <f t="shared" si="7"/>
        <v>66</v>
      </c>
      <c r="AR32">
        <f t="shared" si="7"/>
        <v>72</v>
      </c>
      <c r="AS32">
        <f t="shared" si="7"/>
        <v>73</v>
      </c>
      <c r="AT32">
        <f t="shared" si="7"/>
        <v>99</v>
      </c>
      <c r="AU32">
        <f t="shared" si="7"/>
        <v>99</v>
      </c>
      <c r="AV32">
        <f t="shared" si="7"/>
        <v>100</v>
      </c>
    </row>
    <row r="33" spans="10:49">
      <c r="J33" s="97" t="s">
        <v>107</v>
      </c>
      <c r="K33" s="103" t="s">
        <v>116</v>
      </c>
      <c r="AL33" s="100"/>
      <c r="AM33" s="97" t="s">
        <v>106</v>
      </c>
      <c r="AN33">
        <v>0</v>
      </c>
      <c r="AO33">
        <f t="shared" si="6"/>
        <v>1</v>
      </c>
      <c r="AP33">
        <f t="shared" si="7"/>
        <v>69</v>
      </c>
      <c r="AQ33">
        <f t="shared" si="7"/>
        <v>78</v>
      </c>
      <c r="AR33">
        <f t="shared" si="7"/>
        <v>84</v>
      </c>
      <c r="AS33">
        <f t="shared" si="7"/>
        <v>87</v>
      </c>
      <c r="AT33">
        <f t="shared" si="7"/>
        <v>99</v>
      </c>
      <c r="AU33">
        <f t="shared" si="7"/>
        <v>99</v>
      </c>
      <c r="AV33">
        <f t="shared" si="7"/>
        <v>99</v>
      </c>
    </row>
    <row r="34" spans="10:49" ht="15" thickBot="1">
      <c r="J34" s="97" t="s">
        <v>106</v>
      </c>
      <c r="K34" s="103" t="s">
        <v>115</v>
      </c>
      <c r="V34" s="124"/>
      <c r="AL34" s="100"/>
      <c r="AM34" s="97" t="s">
        <v>111</v>
      </c>
      <c r="AN34">
        <v>0</v>
      </c>
      <c r="AO34">
        <f t="shared" si="6"/>
        <v>2</v>
      </c>
      <c r="AP34">
        <f t="shared" si="7"/>
        <v>46</v>
      </c>
      <c r="AQ34">
        <f t="shared" si="7"/>
        <v>61</v>
      </c>
      <c r="AR34">
        <f t="shared" si="7"/>
        <v>71</v>
      </c>
      <c r="AS34">
        <f t="shared" si="7"/>
        <v>76</v>
      </c>
      <c r="AT34">
        <f t="shared" si="7"/>
        <v>99</v>
      </c>
      <c r="AU34">
        <f t="shared" si="7"/>
        <v>99</v>
      </c>
      <c r="AV34">
        <f t="shared" si="7"/>
        <v>100</v>
      </c>
    </row>
    <row r="35" spans="10:49" ht="15" thickBot="1">
      <c r="J35" s="97" t="s">
        <v>111</v>
      </c>
      <c r="K35" s="103" t="s">
        <v>119</v>
      </c>
      <c r="V35" s="104" t="s">
        <v>123</v>
      </c>
      <c r="W35" s="105" t="s">
        <v>124</v>
      </c>
      <c r="X35" s="105" t="s">
        <v>125</v>
      </c>
      <c r="Y35" s="105" t="s">
        <v>126</v>
      </c>
      <c r="Z35" s="105" t="s">
        <v>127</v>
      </c>
      <c r="AA35" s="105" t="s">
        <v>128</v>
      </c>
      <c r="AB35" s="105" t="s">
        <v>129</v>
      </c>
      <c r="AC35" s="105" t="s">
        <v>130</v>
      </c>
      <c r="AD35" s="105" t="s">
        <v>131</v>
      </c>
      <c r="AE35" s="105" t="s">
        <v>132</v>
      </c>
      <c r="AF35" s="105" t="s">
        <v>133</v>
      </c>
      <c r="AG35" s="105" t="s">
        <v>134</v>
      </c>
      <c r="AH35" s="105" t="s">
        <v>5</v>
      </c>
      <c r="AI35" s="105" t="s">
        <v>6</v>
      </c>
      <c r="AL35" s="100"/>
      <c r="AM35" s="97" t="s">
        <v>112</v>
      </c>
      <c r="AN35">
        <v>0</v>
      </c>
      <c r="AO35">
        <f t="shared" si="6"/>
        <v>4</v>
      </c>
      <c r="AP35">
        <f t="shared" si="7"/>
        <v>60</v>
      </c>
      <c r="AQ35">
        <f t="shared" si="7"/>
        <v>69</v>
      </c>
      <c r="AR35">
        <f t="shared" si="7"/>
        <v>75</v>
      </c>
      <c r="AS35">
        <f t="shared" si="7"/>
        <v>78</v>
      </c>
      <c r="AT35">
        <f t="shared" si="7"/>
        <v>100</v>
      </c>
      <c r="AU35">
        <f t="shared" si="7"/>
        <v>100</v>
      </c>
      <c r="AV35">
        <f t="shared" si="7"/>
        <v>101</v>
      </c>
    </row>
    <row r="36" spans="10:49" ht="15" thickBot="1">
      <c r="J36" s="97" t="s">
        <v>112</v>
      </c>
      <c r="K36" s="103" t="s">
        <v>120</v>
      </c>
      <c r="V36" s="106" t="s">
        <v>14</v>
      </c>
      <c r="W36" s="107">
        <v>160</v>
      </c>
      <c r="X36" s="107">
        <v>223</v>
      </c>
      <c r="Y36" s="107">
        <v>94</v>
      </c>
      <c r="Z36" s="108">
        <v>1233</v>
      </c>
      <c r="AA36" s="107">
        <v>81</v>
      </c>
      <c r="AB36" s="107">
        <v>9.5500000000000007</v>
      </c>
      <c r="AC36" s="107">
        <v>3083</v>
      </c>
      <c r="AD36" s="107">
        <v>39.99</v>
      </c>
      <c r="AE36" s="107">
        <v>0</v>
      </c>
      <c r="AF36" s="107">
        <v>1</v>
      </c>
      <c r="AG36" s="107">
        <v>28</v>
      </c>
      <c r="AH36" s="107">
        <v>166</v>
      </c>
      <c r="AI36" s="107">
        <v>3</v>
      </c>
      <c r="AL36" s="100"/>
      <c r="AM36" s="97" t="s">
        <v>113</v>
      </c>
      <c r="AN36">
        <v>0</v>
      </c>
      <c r="AO36">
        <f t="shared" si="6"/>
        <v>8</v>
      </c>
      <c r="AP36">
        <f t="shared" si="7"/>
        <v>64</v>
      </c>
      <c r="AQ36">
        <f t="shared" si="7"/>
        <v>71</v>
      </c>
      <c r="AR36">
        <f t="shared" si="7"/>
        <v>75</v>
      </c>
      <c r="AS36">
        <f t="shared" si="7"/>
        <v>77</v>
      </c>
      <c r="AT36">
        <f t="shared" si="7"/>
        <v>95</v>
      </c>
      <c r="AU36">
        <f t="shared" si="7"/>
        <v>95</v>
      </c>
      <c r="AV36">
        <f t="shared" si="7"/>
        <v>100</v>
      </c>
    </row>
    <row r="37" spans="10:49" ht="15" thickBot="1">
      <c r="J37" s="97" t="s">
        <v>113</v>
      </c>
      <c r="K37" s="103" t="s">
        <v>121</v>
      </c>
      <c r="V37" s="124"/>
      <c r="AL37" s="100"/>
      <c r="AM37" s="97" t="s">
        <v>114</v>
      </c>
      <c r="AN37">
        <v>0</v>
      </c>
      <c r="AO37">
        <f t="shared" si="6"/>
        <v>8</v>
      </c>
      <c r="AP37">
        <f t="shared" si="7"/>
        <v>81</v>
      </c>
      <c r="AQ37">
        <f t="shared" si="7"/>
        <v>88</v>
      </c>
      <c r="AR37">
        <f t="shared" si="7"/>
        <v>93</v>
      </c>
      <c r="AS37">
        <f t="shared" si="7"/>
        <v>95</v>
      </c>
      <c r="AT37">
        <f t="shared" si="7"/>
        <v>100</v>
      </c>
      <c r="AU37">
        <f t="shared" si="7"/>
        <v>100</v>
      </c>
      <c r="AV37">
        <f t="shared" si="7"/>
        <v>100</v>
      </c>
    </row>
    <row r="38" spans="10:49">
      <c r="J38" s="97" t="s">
        <v>114</v>
      </c>
      <c r="K38" s="103">
        <v>15</v>
      </c>
    </row>
    <row r="39" spans="10:49">
      <c r="Y39" t="s">
        <v>135</v>
      </c>
      <c r="Z39">
        <v>0</v>
      </c>
      <c r="AA39">
        <v>1</v>
      </c>
      <c r="AB39">
        <v>2</v>
      </c>
      <c r="AC39">
        <v>3</v>
      </c>
      <c r="AD39">
        <v>4</v>
      </c>
      <c r="AE39">
        <v>6</v>
      </c>
    </row>
    <row r="40" spans="10:49">
      <c r="X40" t="s">
        <v>149</v>
      </c>
      <c r="Y40" s="220" t="s">
        <v>150</v>
      </c>
      <c r="Z40" s="220"/>
      <c r="AA40" s="220" t="s">
        <v>151</v>
      </c>
      <c r="AB40" s="220"/>
      <c r="AC40" s="220"/>
      <c r="AD40" s="220"/>
      <c r="AE40" s="220"/>
      <c r="AL40" s="100"/>
      <c r="AN40" s="98" t="s">
        <v>35</v>
      </c>
      <c r="AO40" s="98">
        <v>0</v>
      </c>
      <c r="AP40" s="98">
        <v>1</v>
      </c>
      <c r="AQ40" s="98">
        <v>2</v>
      </c>
      <c r="AR40" s="98">
        <v>3</v>
      </c>
      <c r="AS40" s="98">
        <v>4</v>
      </c>
      <c r="AT40" s="98">
        <v>5</v>
      </c>
      <c r="AU40" s="98">
        <v>6</v>
      </c>
    </row>
    <row r="41" spans="10:49">
      <c r="Y41" s="220">
        <f>100-AD36</f>
        <v>60.01</v>
      </c>
      <c r="Z41" s="220"/>
      <c r="AA41" s="220">
        <f>AD36</f>
        <v>39.99</v>
      </c>
      <c r="AB41" s="220"/>
      <c r="AC41" s="220"/>
      <c r="AD41" s="220"/>
      <c r="AE41" s="220"/>
      <c r="AK41" t="s">
        <v>210</v>
      </c>
      <c r="AL41" s="215" t="s">
        <v>104</v>
      </c>
      <c r="AM41" s="97" t="s">
        <v>110</v>
      </c>
      <c r="AN41">
        <v>1</v>
      </c>
      <c r="AO41">
        <f t="shared" ref="AO41:AO46" si="9">AO18*AO$17</f>
        <v>0</v>
      </c>
      <c r="AP41">
        <f t="shared" ref="AP41:AU44" si="10">AP18*AP$17</f>
        <v>15</v>
      </c>
      <c r="AQ41">
        <f t="shared" si="10"/>
        <v>22</v>
      </c>
      <c r="AR41">
        <f t="shared" si="10"/>
        <v>15</v>
      </c>
      <c r="AS41">
        <f t="shared" si="10"/>
        <v>188</v>
      </c>
      <c r="AT41">
        <f t="shared" si="10"/>
        <v>0</v>
      </c>
      <c r="AU41">
        <f t="shared" si="10"/>
        <v>30</v>
      </c>
      <c r="AW41">
        <f>SUM(AO41:AU41)</f>
        <v>270</v>
      </c>
    </row>
    <row r="42" spans="10:49">
      <c r="AD42">
        <f>AD39*AH36</f>
        <v>664</v>
      </c>
      <c r="AE42">
        <f>AI36*6</f>
        <v>18</v>
      </c>
      <c r="AK42" t="s">
        <v>101</v>
      </c>
      <c r="AL42" s="215"/>
      <c r="AM42" s="97" t="s">
        <v>109</v>
      </c>
      <c r="AN42" s="128">
        <v>1</v>
      </c>
      <c r="AO42">
        <f t="shared" si="9"/>
        <v>0</v>
      </c>
      <c r="AP42">
        <f t="shared" si="10"/>
        <v>13</v>
      </c>
      <c r="AQ42">
        <f t="shared" si="10"/>
        <v>18</v>
      </c>
      <c r="AR42">
        <f t="shared" si="10"/>
        <v>12</v>
      </c>
      <c r="AS42">
        <f t="shared" si="10"/>
        <v>128</v>
      </c>
      <c r="AT42">
        <f t="shared" si="10"/>
        <v>0</v>
      </c>
      <c r="AU42">
        <f t="shared" si="10"/>
        <v>18</v>
      </c>
      <c r="AW42">
        <f t="shared" ref="AW42:AW49" si="11">SUM(AO42:AU42)</f>
        <v>189</v>
      </c>
    </row>
    <row r="43" spans="10:49">
      <c r="AA43" s="223">
        <f>1-SUM(AD43:AE43)</f>
        <v>0.44687753446877532</v>
      </c>
      <c r="AB43" s="220"/>
      <c r="AC43" s="220"/>
      <c r="AD43" s="102">
        <f>AD42/Z36</f>
        <v>0.5385239253852393</v>
      </c>
      <c r="AE43" s="102">
        <f>AE42/Z36</f>
        <v>1.4598540145985401E-2</v>
      </c>
      <c r="AF43" t="s">
        <v>152</v>
      </c>
      <c r="AL43" s="215"/>
      <c r="AM43" s="97" t="s">
        <v>108</v>
      </c>
      <c r="AN43">
        <v>1</v>
      </c>
      <c r="AO43">
        <f t="shared" si="9"/>
        <v>0</v>
      </c>
      <c r="AP43">
        <f t="shared" si="10"/>
        <v>18</v>
      </c>
      <c r="AQ43">
        <f t="shared" si="10"/>
        <v>16</v>
      </c>
      <c r="AR43">
        <f t="shared" si="10"/>
        <v>9</v>
      </c>
      <c r="AS43">
        <f t="shared" si="10"/>
        <v>112</v>
      </c>
      <c r="AT43">
        <f t="shared" si="10"/>
        <v>0</v>
      </c>
      <c r="AU43">
        <f t="shared" si="10"/>
        <v>12</v>
      </c>
      <c r="AW43">
        <f t="shared" si="11"/>
        <v>167</v>
      </c>
    </row>
    <row r="44" spans="10:49">
      <c r="AA44" s="115" t="s">
        <v>154</v>
      </c>
      <c r="AB44" s="115" t="s">
        <v>155</v>
      </c>
      <c r="AC44" s="116" t="s">
        <v>156</v>
      </c>
      <c r="AL44" s="215"/>
      <c r="AM44" s="97" t="s">
        <v>107</v>
      </c>
      <c r="AN44">
        <v>2</v>
      </c>
      <c r="AO44">
        <f t="shared" si="9"/>
        <v>0</v>
      </c>
      <c r="AP44">
        <f t="shared" si="10"/>
        <v>22</v>
      </c>
      <c r="AQ44">
        <f t="shared" si="10"/>
        <v>12</v>
      </c>
      <c r="AR44">
        <f t="shared" si="10"/>
        <v>3</v>
      </c>
      <c r="AS44">
        <f t="shared" si="10"/>
        <v>104</v>
      </c>
      <c r="AT44">
        <f t="shared" si="10"/>
        <v>0</v>
      </c>
      <c r="AU44">
        <f t="shared" si="10"/>
        <v>6</v>
      </c>
      <c r="AW44">
        <f t="shared" si="11"/>
        <v>147</v>
      </c>
    </row>
    <row r="45" spans="10:49">
      <c r="AA45" s="115">
        <f>(3/6)*AA43</f>
        <v>0.22343876723438766</v>
      </c>
      <c r="AB45" s="115">
        <f>(2/6)*AA43</f>
        <v>0.14895917815625842</v>
      </c>
      <c r="AC45" s="115">
        <f>(1/6)*AA43</f>
        <v>7.447958907812921E-2</v>
      </c>
      <c r="AD45" s="102">
        <f>AD42/Z36</f>
        <v>0.5385239253852393</v>
      </c>
      <c r="AE45" s="102">
        <f>AE42/Z36</f>
        <v>1.4598540145985401E-2</v>
      </c>
      <c r="AF45" t="s">
        <v>153</v>
      </c>
      <c r="AL45" s="100"/>
      <c r="AM45" s="97" t="s">
        <v>106</v>
      </c>
      <c r="AN45">
        <v>2</v>
      </c>
      <c r="AO45">
        <f t="shared" si="9"/>
        <v>0</v>
      </c>
      <c r="AP45">
        <f t="shared" ref="AP45:AU46" si="12">AP22*AP$17</f>
        <v>9</v>
      </c>
      <c r="AQ45">
        <f t="shared" si="12"/>
        <v>12</v>
      </c>
      <c r="AR45">
        <f t="shared" si="12"/>
        <v>9</v>
      </c>
      <c r="AS45">
        <f t="shared" si="12"/>
        <v>48</v>
      </c>
      <c r="AT45">
        <f t="shared" si="12"/>
        <v>0</v>
      </c>
      <c r="AU45">
        <f t="shared" si="12"/>
        <v>0</v>
      </c>
      <c r="AW45">
        <f t="shared" si="11"/>
        <v>78</v>
      </c>
    </row>
    <row r="46" spans="10:49">
      <c r="AD46" s="7"/>
      <c r="AE46" s="7"/>
      <c r="AL46" s="215" t="s">
        <v>105</v>
      </c>
      <c r="AM46" s="97" t="s">
        <v>111</v>
      </c>
      <c r="AN46">
        <v>2</v>
      </c>
      <c r="AO46">
        <f t="shared" si="9"/>
        <v>0</v>
      </c>
      <c r="AP46">
        <f t="shared" si="12"/>
        <v>15</v>
      </c>
      <c r="AQ46">
        <f t="shared" si="12"/>
        <v>20</v>
      </c>
      <c r="AR46">
        <f t="shared" si="12"/>
        <v>15</v>
      </c>
      <c r="AS46">
        <f t="shared" si="12"/>
        <v>92</v>
      </c>
      <c r="AT46">
        <f t="shared" si="12"/>
        <v>0</v>
      </c>
      <c r="AU46">
        <f t="shared" si="12"/>
        <v>6</v>
      </c>
      <c r="AW46">
        <f t="shared" si="11"/>
        <v>148</v>
      </c>
    </row>
    <row r="47" spans="10:49">
      <c r="X47" t="s">
        <v>148</v>
      </c>
      <c r="Y47">
        <f>100*AB36/AD36</f>
        <v>23.880970242560643</v>
      </c>
      <c r="AH47" t="s">
        <v>87</v>
      </c>
      <c r="AK47" t="s">
        <v>211</v>
      </c>
      <c r="AL47" s="215"/>
      <c r="AM47" s="97" t="s">
        <v>112</v>
      </c>
      <c r="AN47">
        <v>4</v>
      </c>
      <c r="AO47">
        <f t="shared" ref="AO47:AU47" si="13">AO24*AO$17</f>
        <v>0</v>
      </c>
      <c r="AP47">
        <f t="shared" si="13"/>
        <v>9</v>
      </c>
      <c r="AQ47">
        <f t="shared" si="13"/>
        <v>12</v>
      </c>
      <c r="AR47">
        <f t="shared" si="13"/>
        <v>9</v>
      </c>
      <c r="AS47">
        <f t="shared" si="13"/>
        <v>88</v>
      </c>
      <c r="AT47">
        <f t="shared" si="13"/>
        <v>0</v>
      </c>
      <c r="AU47">
        <f t="shared" si="13"/>
        <v>6</v>
      </c>
      <c r="AW47">
        <f t="shared" si="11"/>
        <v>124</v>
      </c>
    </row>
    <row r="48" spans="10:49">
      <c r="X48" t="s">
        <v>146</v>
      </c>
      <c r="Y48">
        <f>100/Y47</f>
        <v>4.1874345549738212</v>
      </c>
      <c r="Z48">
        <f>Y41-Y48</f>
        <v>55.822565445026179</v>
      </c>
      <c r="AA48">
        <f>AA45*AA41</f>
        <v>8.9353163017031623</v>
      </c>
      <c r="AB48">
        <f>AB45*AA41</f>
        <v>5.9568775344687745</v>
      </c>
      <c r="AC48">
        <f>AC45*AA41</f>
        <v>2.9784387672343873</v>
      </c>
      <c r="AD48">
        <f>AD45*AA41</f>
        <v>21.53557177615572</v>
      </c>
      <c r="AE48">
        <f>AE45*AA41</f>
        <v>0.58379562043795619</v>
      </c>
      <c r="AF48" t="s">
        <v>157</v>
      </c>
      <c r="AH48">
        <f>SUM(Y48:AE48)</f>
        <v>100</v>
      </c>
      <c r="AK48" t="s">
        <v>122</v>
      </c>
      <c r="AL48" s="215"/>
      <c r="AM48" s="97" t="s">
        <v>113</v>
      </c>
      <c r="AN48">
        <v>8</v>
      </c>
      <c r="AO48">
        <f t="shared" ref="AO48:AU48" si="14">AO25*AO$17</f>
        <v>0</v>
      </c>
      <c r="AP48">
        <f t="shared" si="14"/>
        <v>7</v>
      </c>
      <c r="AQ48">
        <f t="shared" si="14"/>
        <v>8</v>
      </c>
      <c r="AR48">
        <f t="shared" si="14"/>
        <v>6</v>
      </c>
      <c r="AS48">
        <f t="shared" si="14"/>
        <v>72</v>
      </c>
      <c r="AT48">
        <f t="shared" si="14"/>
        <v>0</v>
      </c>
      <c r="AU48">
        <f t="shared" si="14"/>
        <v>30</v>
      </c>
      <c r="AW48">
        <f t="shared" si="11"/>
        <v>123</v>
      </c>
    </row>
    <row r="49" spans="21:49">
      <c r="X49" s="128" t="s">
        <v>158</v>
      </c>
      <c r="Y49" s="128">
        <f t="shared" ref="Y49:AE49" si="15">ROUND(Y48,0)</f>
        <v>4</v>
      </c>
      <c r="Z49" s="128">
        <f t="shared" si="15"/>
        <v>56</v>
      </c>
      <c r="AA49" s="128">
        <f t="shared" si="15"/>
        <v>9</v>
      </c>
      <c r="AB49" s="128">
        <f t="shared" si="15"/>
        <v>6</v>
      </c>
      <c r="AC49" s="128">
        <f t="shared" si="15"/>
        <v>3</v>
      </c>
      <c r="AD49" s="128">
        <f t="shared" si="15"/>
        <v>22</v>
      </c>
      <c r="AE49" s="128">
        <f t="shared" si="15"/>
        <v>1</v>
      </c>
      <c r="AF49" s="128"/>
      <c r="AG49" s="128"/>
      <c r="AH49" s="128">
        <f>SUM(Y49:AE49)</f>
        <v>101</v>
      </c>
      <c r="AK49" t="s">
        <v>233</v>
      </c>
      <c r="AL49" s="215"/>
      <c r="AM49" s="97" t="s">
        <v>114</v>
      </c>
      <c r="AN49">
        <v>8</v>
      </c>
      <c r="AO49">
        <f t="shared" ref="AO49:AU49" si="16">AO26*AO$17</f>
        <v>0</v>
      </c>
      <c r="AP49">
        <f t="shared" si="16"/>
        <v>7</v>
      </c>
      <c r="AQ49">
        <f t="shared" si="16"/>
        <v>10</v>
      </c>
      <c r="AR49">
        <f t="shared" si="16"/>
        <v>6</v>
      </c>
      <c r="AS49">
        <f t="shared" si="16"/>
        <v>20</v>
      </c>
      <c r="AT49">
        <f t="shared" si="16"/>
        <v>0</v>
      </c>
      <c r="AU49">
        <f t="shared" si="16"/>
        <v>0</v>
      </c>
      <c r="AW49">
        <f t="shared" si="11"/>
        <v>43</v>
      </c>
    </row>
    <row r="51" spans="21:49">
      <c r="U51" s="2" t="s">
        <v>175</v>
      </c>
    </row>
    <row r="52" spans="21:49">
      <c r="U52" s="217" t="s">
        <v>160</v>
      </c>
      <c r="V52" s="217"/>
      <c r="Y52" t="s">
        <v>135</v>
      </c>
      <c r="Z52">
        <v>0</v>
      </c>
      <c r="AA52">
        <v>1</v>
      </c>
      <c r="AB52">
        <v>2</v>
      </c>
      <c r="AC52">
        <v>3</v>
      </c>
      <c r="AD52">
        <v>4</v>
      </c>
      <c r="AE52">
        <v>6</v>
      </c>
    </row>
    <row r="53" spans="21:49">
      <c r="U53" s="125" t="s">
        <v>98</v>
      </c>
      <c r="V53" s="126">
        <v>180</v>
      </c>
      <c r="X53" t="s">
        <v>149</v>
      </c>
      <c r="Y53" s="220" t="s">
        <v>150</v>
      </c>
      <c r="Z53" s="220"/>
      <c r="AA53" s="220" t="s">
        <v>151</v>
      </c>
      <c r="AB53" s="220"/>
      <c r="AC53" s="220"/>
      <c r="AD53" s="220"/>
      <c r="AE53" s="220"/>
    </row>
    <row r="54" spans="21:49">
      <c r="U54" s="125" t="s">
        <v>161</v>
      </c>
      <c r="V54" s="127">
        <v>6</v>
      </c>
      <c r="Y54" s="220">
        <f>100-V67</f>
        <v>17.790000000000006</v>
      </c>
      <c r="Z54" s="220"/>
      <c r="AA54" s="220">
        <f>V67</f>
        <v>82.21</v>
      </c>
      <c r="AB54" s="220"/>
      <c r="AC54" s="220"/>
      <c r="AD54" s="220"/>
      <c r="AE54" s="220"/>
    </row>
    <row r="55" spans="21:49">
      <c r="U55" s="125" t="s">
        <v>162</v>
      </c>
      <c r="V55" s="127">
        <v>8586</v>
      </c>
      <c r="AD55">
        <f>V64*4</f>
        <v>4928</v>
      </c>
      <c r="AE55">
        <f>V65*6</f>
        <v>546</v>
      </c>
    </row>
    <row r="56" spans="21:49">
      <c r="U56" s="125" t="s">
        <v>163</v>
      </c>
      <c r="V56" s="126">
        <v>319</v>
      </c>
      <c r="AA56" s="223">
        <f>1-SUM(AD56:AE56)</f>
        <v>0.36245050081528063</v>
      </c>
      <c r="AB56" s="220"/>
      <c r="AC56" s="220"/>
      <c r="AD56" s="102">
        <f>AD55/V55</f>
        <v>0.57395760540414631</v>
      </c>
      <c r="AE56" s="102">
        <f>AE55/V55</f>
        <v>6.3591893780573019E-2</v>
      </c>
      <c r="AF56" t="s">
        <v>152</v>
      </c>
    </row>
    <row r="57" spans="21:49">
      <c r="U57" s="125" t="s">
        <v>164</v>
      </c>
      <c r="V57" s="127">
        <v>49.34</v>
      </c>
      <c r="AA57" s="115" t="s">
        <v>154</v>
      </c>
      <c r="AB57" s="115" t="s">
        <v>155</v>
      </c>
      <c r="AC57" s="116" t="s">
        <v>156</v>
      </c>
    </row>
    <row r="58" spans="21:49">
      <c r="U58" s="125" t="s">
        <v>165</v>
      </c>
      <c r="V58" s="127">
        <v>32</v>
      </c>
      <c r="AA58" s="115">
        <f>(3/6)*AA56</f>
        <v>0.18122525040764031</v>
      </c>
      <c r="AB58" s="115">
        <f>(2/6)*AA56</f>
        <v>0.12081683360509354</v>
      </c>
      <c r="AC58" s="115">
        <f>(1/6)*AA56</f>
        <v>6.0408416802546772E-2</v>
      </c>
      <c r="AD58" s="102">
        <f>AD55/V55</f>
        <v>0.57395760540414631</v>
      </c>
      <c r="AE58" s="102">
        <f>AE55/V55</f>
        <v>6.3591893780573019E-2</v>
      </c>
      <c r="AF58" t="s">
        <v>153</v>
      </c>
    </row>
    <row r="59" spans="21:49">
      <c r="U59" s="125" t="s">
        <v>166</v>
      </c>
      <c r="V59" s="126">
        <v>23</v>
      </c>
      <c r="AD59" s="7"/>
      <c r="AE59" s="7"/>
    </row>
    <row r="60" spans="21:49">
      <c r="U60" s="125" t="s">
        <v>167</v>
      </c>
      <c r="V60" s="127">
        <v>6</v>
      </c>
      <c r="X60" t="s">
        <v>148</v>
      </c>
      <c r="Y60">
        <f>100*V57/V67</f>
        <v>60.017029558447881</v>
      </c>
      <c r="AH60" t="s">
        <v>87</v>
      </c>
    </row>
    <row r="61" spans="21:49">
      <c r="U61" s="125" t="s">
        <v>168</v>
      </c>
      <c r="V61" s="127">
        <v>2</v>
      </c>
      <c r="X61" t="s">
        <v>146</v>
      </c>
      <c r="Y61">
        <f>100/Y60</f>
        <v>1.6661937576003243</v>
      </c>
      <c r="Z61">
        <f>Y54-Y61</f>
        <v>16.123806242399681</v>
      </c>
      <c r="AA61">
        <f>AA58*AA54</f>
        <v>14.898527836012109</v>
      </c>
      <c r="AB61">
        <f>AB58*AA54</f>
        <v>9.9323518906747399</v>
      </c>
      <c r="AC61">
        <f>AC58*AA54</f>
        <v>4.9661759453373699</v>
      </c>
      <c r="AD61">
        <f>AD58*AA54</f>
        <v>47.185054740274865</v>
      </c>
      <c r="AE61">
        <f>AE58*AA54</f>
        <v>5.2278895877009077</v>
      </c>
      <c r="AF61" t="s">
        <v>157</v>
      </c>
      <c r="AH61">
        <f>SUM(Y61:AE61)</f>
        <v>100</v>
      </c>
    </row>
    <row r="62" spans="21:49">
      <c r="U62" s="125" t="s">
        <v>169</v>
      </c>
      <c r="V62" s="127">
        <v>16</v>
      </c>
      <c r="X62" s="128" t="s">
        <v>158</v>
      </c>
      <c r="Y62" s="128">
        <f t="shared" ref="Y62:AE62" si="17">ROUND(Y61,0)</f>
        <v>2</v>
      </c>
      <c r="Z62" s="128">
        <f t="shared" si="17"/>
        <v>16</v>
      </c>
      <c r="AA62" s="128">
        <f t="shared" si="17"/>
        <v>15</v>
      </c>
      <c r="AB62" s="128">
        <f t="shared" si="17"/>
        <v>10</v>
      </c>
      <c r="AC62" s="128">
        <f t="shared" si="17"/>
        <v>5</v>
      </c>
      <c r="AD62" s="128">
        <f t="shared" si="17"/>
        <v>47</v>
      </c>
      <c r="AE62" s="128">
        <f t="shared" si="17"/>
        <v>5</v>
      </c>
      <c r="AF62" s="128"/>
      <c r="AG62" s="128"/>
      <c r="AH62" s="128">
        <f>SUM(Y62:AE62)</f>
        <v>100</v>
      </c>
      <c r="AJ62" t="s">
        <v>176</v>
      </c>
    </row>
    <row r="63" spans="21:49">
      <c r="U63" s="125" t="s">
        <v>170</v>
      </c>
      <c r="V63" s="127">
        <v>1</v>
      </c>
    </row>
    <row r="64" spans="21:49">
      <c r="U64" s="125" t="s">
        <v>171</v>
      </c>
      <c r="V64" s="127">
        <v>1232</v>
      </c>
    </row>
    <row r="65" spans="21:36">
      <c r="U65" s="125" t="s">
        <v>172</v>
      </c>
      <c r="V65" s="127">
        <v>91</v>
      </c>
    </row>
    <row r="66" spans="21:36">
      <c r="U66" s="125" t="s">
        <v>173</v>
      </c>
      <c r="V66" s="127">
        <v>10444</v>
      </c>
    </row>
    <row r="67" spans="21:36">
      <c r="U67" s="125" t="s">
        <v>174</v>
      </c>
      <c r="V67" s="127">
        <v>82.21</v>
      </c>
    </row>
    <row r="69" spans="21:36">
      <c r="U69" s="125" t="s">
        <v>122</v>
      </c>
    </row>
    <row r="70" spans="21:36">
      <c r="U70" s="218" t="s">
        <v>160</v>
      </c>
      <c r="V70" s="218"/>
      <c r="Y70" t="s">
        <v>135</v>
      </c>
      <c r="Z70">
        <v>0</v>
      </c>
      <c r="AA70">
        <v>1</v>
      </c>
      <c r="AB70">
        <v>2</v>
      </c>
      <c r="AC70">
        <v>3</v>
      </c>
      <c r="AD70">
        <v>4</v>
      </c>
      <c r="AE70">
        <v>6</v>
      </c>
    </row>
    <row r="71" spans="21:36">
      <c r="U71" s="125" t="s">
        <v>98</v>
      </c>
      <c r="V71" s="121">
        <v>59</v>
      </c>
      <c r="X71" t="s">
        <v>149</v>
      </c>
      <c r="Y71" s="220" t="s">
        <v>150</v>
      </c>
      <c r="Z71" s="220"/>
      <c r="AA71" s="220" t="s">
        <v>151</v>
      </c>
      <c r="AB71" s="220"/>
      <c r="AC71" s="220"/>
      <c r="AD71" s="220"/>
      <c r="AE71" s="220"/>
    </row>
    <row r="72" spans="21:36">
      <c r="U72" s="125" t="s">
        <v>161</v>
      </c>
      <c r="V72" s="122">
        <v>29</v>
      </c>
      <c r="Y72" s="220">
        <f>100-V85</f>
        <v>77.83</v>
      </c>
      <c r="Z72" s="220"/>
      <c r="AA72" s="220">
        <f>V85</f>
        <v>22.17</v>
      </c>
      <c r="AB72" s="220"/>
      <c r="AC72" s="220"/>
      <c r="AD72" s="220"/>
      <c r="AE72" s="220"/>
    </row>
    <row r="73" spans="21:36">
      <c r="U73" s="125" t="s">
        <v>162</v>
      </c>
      <c r="V73" s="122">
        <v>153</v>
      </c>
      <c r="AD73">
        <f>V82*4</f>
        <v>52</v>
      </c>
      <c r="AE73">
        <f>V83*6</f>
        <v>0</v>
      </c>
    </row>
    <row r="74" spans="21:36">
      <c r="U74" s="125" t="s">
        <v>163</v>
      </c>
      <c r="V74" s="121" t="s">
        <v>177</v>
      </c>
      <c r="AA74" s="223">
        <f>1-SUM(AD74:AE74)</f>
        <v>0.66013071895424835</v>
      </c>
      <c r="AB74" s="220"/>
      <c r="AC74" s="220"/>
      <c r="AD74" s="102">
        <f>AD73/V73</f>
        <v>0.33986928104575165</v>
      </c>
      <c r="AE74" s="102">
        <f>AE73/V73</f>
        <v>0</v>
      </c>
      <c r="AF74" t="s">
        <v>152</v>
      </c>
    </row>
    <row r="75" spans="21:36">
      <c r="U75" s="125" t="s">
        <v>164</v>
      </c>
      <c r="V75" s="122">
        <v>5.0999999999999996</v>
      </c>
      <c r="AA75" s="115" t="s">
        <v>154</v>
      </c>
      <c r="AB75" s="115" t="s">
        <v>155</v>
      </c>
      <c r="AC75" s="116" t="s">
        <v>156</v>
      </c>
    </row>
    <row r="76" spans="21:36">
      <c r="U76" s="125" t="s">
        <v>165</v>
      </c>
      <c r="V76" s="122">
        <v>0</v>
      </c>
      <c r="AA76" s="115">
        <f>(3/6)*AA74</f>
        <v>0.33006535947712418</v>
      </c>
      <c r="AB76" s="115">
        <f>(2/6)*AA74</f>
        <v>0.22004357298474944</v>
      </c>
      <c r="AC76" s="115">
        <f>(1/6)*AA74</f>
        <v>0.11002178649237472</v>
      </c>
      <c r="AD76" s="102">
        <f>AD73/V73</f>
        <v>0.33986928104575165</v>
      </c>
      <c r="AE76" s="102">
        <f>AE73/V73</f>
        <v>0</v>
      </c>
      <c r="AF76" t="s">
        <v>153</v>
      </c>
    </row>
    <row r="77" spans="21:36">
      <c r="U77" s="125" t="s">
        <v>166</v>
      </c>
      <c r="V77" s="122">
        <v>0</v>
      </c>
      <c r="AD77" s="7"/>
      <c r="AE77" s="7"/>
    </row>
    <row r="78" spans="21:36">
      <c r="U78" s="125" t="s">
        <v>167</v>
      </c>
      <c r="V78" s="122">
        <v>0</v>
      </c>
      <c r="X78" t="s">
        <v>148</v>
      </c>
      <c r="Y78">
        <f>100*V75/V85</f>
        <v>23.004059539918806</v>
      </c>
      <c r="AH78" t="s">
        <v>87</v>
      </c>
    </row>
    <row r="79" spans="21:36">
      <c r="U79" s="125" t="s">
        <v>168</v>
      </c>
      <c r="V79" s="122">
        <v>0</v>
      </c>
      <c r="X79" t="s">
        <v>146</v>
      </c>
      <c r="Y79">
        <f>100/Y78</f>
        <v>4.3470588235294123</v>
      </c>
      <c r="Z79">
        <f>Y72-Y79</f>
        <v>73.48294117647059</v>
      </c>
      <c r="AA79">
        <f>AA76*AA72</f>
        <v>7.3175490196078439</v>
      </c>
      <c r="AB79">
        <f>AB76*AA72</f>
        <v>4.8783660130718953</v>
      </c>
      <c r="AC79">
        <f>AC76*AA72</f>
        <v>2.4391830065359477</v>
      </c>
      <c r="AD79">
        <f>AD76*AA72</f>
        <v>7.5349019607843148</v>
      </c>
      <c r="AE79">
        <f>AE76*AA72</f>
        <v>0</v>
      </c>
      <c r="AF79" t="s">
        <v>157</v>
      </c>
      <c r="AH79">
        <f>SUM(Y79:AE79)</f>
        <v>99.999999999999986</v>
      </c>
    </row>
    <row r="80" spans="21:36">
      <c r="U80" s="125" t="s">
        <v>169</v>
      </c>
      <c r="V80" s="122">
        <v>15</v>
      </c>
      <c r="X80" s="128" t="s">
        <v>158</v>
      </c>
      <c r="Y80" s="128">
        <f t="shared" ref="Y80:AE80" si="18">ROUND(Y79,0)</f>
        <v>4</v>
      </c>
      <c r="Z80" s="128">
        <f t="shared" si="18"/>
        <v>73</v>
      </c>
      <c r="AA80" s="128">
        <f t="shared" si="18"/>
        <v>7</v>
      </c>
      <c r="AB80" s="128">
        <f t="shared" si="18"/>
        <v>5</v>
      </c>
      <c r="AC80" s="128">
        <f t="shared" si="18"/>
        <v>2</v>
      </c>
      <c r="AD80" s="128">
        <f t="shared" si="18"/>
        <v>8</v>
      </c>
      <c r="AE80" s="128">
        <f t="shared" si="18"/>
        <v>0</v>
      </c>
      <c r="AF80" s="128"/>
      <c r="AG80" s="128"/>
      <c r="AH80" s="128">
        <f>SUM(Y80:AE80)</f>
        <v>99</v>
      </c>
      <c r="AJ80" t="s">
        <v>176</v>
      </c>
    </row>
    <row r="81" spans="21:34">
      <c r="U81" s="125" t="s">
        <v>170</v>
      </c>
      <c r="V81" s="122">
        <v>1</v>
      </c>
    </row>
    <row r="82" spans="21:34">
      <c r="U82" s="125" t="s">
        <v>171</v>
      </c>
      <c r="V82" s="122">
        <v>13</v>
      </c>
    </row>
    <row r="83" spans="21:34">
      <c r="U83" s="125" t="s">
        <v>172</v>
      </c>
      <c r="V83" s="122">
        <v>0</v>
      </c>
    </row>
    <row r="84" spans="21:34">
      <c r="U84" s="125" t="s">
        <v>173</v>
      </c>
      <c r="V84" s="122">
        <v>690</v>
      </c>
    </row>
    <row r="85" spans="21:34">
      <c r="U85" s="125" t="s">
        <v>174</v>
      </c>
      <c r="V85" s="122">
        <v>22.17</v>
      </c>
    </row>
    <row r="87" spans="21:34">
      <c r="U87" s="125" t="s">
        <v>178</v>
      </c>
    </row>
    <row r="88" spans="21:34">
      <c r="U88" s="218" t="s">
        <v>160</v>
      </c>
      <c r="V88" s="218"/>
      <c r="Y88" t="s">
        <v>135</v>
      </c>
      <c r="Z88">
        <v>0</v>
      </c>
      <c r="AA88">
        <v>1</v>
      </c>
      <c r="AB88">
        <v>2</v>
      </c>
      <c r="AC88">
        <v>3</v>
      </c>
      <c r="AD88">
        <v>4</v>
      </c>
      <c r="AE88">
        <v>6</v>
      </c>
    </row>
    <row r="89" spans="21:34">
      <c r="U89" s="125" t="s">
        <v>98</v>
      </c>
      <c r="V89" s="121">
        <v>80</v>
      </c>
      <c r="X89" t="s">
        <v>149</v>
      </c>
      <c r="Y89" s="220" t="s">
        <v>150</v>
      </c>
      <c r="Z89" s="220"/>
      <c r="AA89" s="220" t="s">
        <v>151</v>
      </c>
      <c r="AB89" s="220"/>
      <c r="AC89" s="220"/>
      <c r="AD89" s="220"/>
      <c r="AE89" s="220"/>
    </row>
    <row r="90" spans="21:34">
      <c r="U90" s="125" t="s">
        <v>161</v>
      </c>
      <c r="V90" s="122">
        <v>30</v>
      </c>
      <c r="Y90" s="220">
        <f>100-V103</f>
        <v>64.539999999999992</v>
      </c>
      <c r="Z90" s="220"/>
      <c r="AA90" s="220">
        <f>V103</f>
        <v>35.46</v>
      </c>
      <c r="AB90" s="220"/>
      <c r="AC90" s="220"/>
      <c r="AD90" s="220"/>
      <c r="AE90" s="220"/>
    </row>
    <row r="91" spans="21:34">
      <c r="U91" s="125" t="s">
        <v>162</v>
      </c>
      <c r="V91" s="122">
        <v>217</v>
      </c>
      <c r="AD91">
        <f>V100*4</f>
        <v>112</v>
      </c>
      <c r="AE91">
        <f>V101*6</f>
        <v>24</v>
      </c>
    </row>
    <row r="92" spans="21:34">
      <c r="U92" s="125" t="s">
        <v>163</v>
      </c>
      <c r="V92" s="121" t="s">
        <v>179</v>
      </c>
      <c r="AA92" s="223">
        <f>1-SUM(AD92:AE92)</f>
        <v>0.37327188940092171</v>
      </c>
      <c r="AB92" s="220"/>
      <c r="AC92" s="220"/>
      <c r="AD92" s="102">
        <f>AD91/V91</f>
        <v>0.5161290322580645</v>
      </c>
      <c r="AE92" s="102">
        <f>AE91/V91</f>
        <v>0.11059907834101383</v>
      </c>
      <c r="AF92" t="s">
        <v>152</v>
      </c>
    </row>
    <row r="93" spans="21:34">
      <c r="U93" s="125" t="s">
        <v>164</v>
      </c>
      <c r="V93" s="122">
        <v>4.34</v>
      </c>
      <c r="AA93" s="115" t="s">
        <v>154</v>
      </c>
      <c r="AB93" s="115" t="s">
        <v>155</v>
      </c>
      <c r="AC93" s="116" t="s">
        <v>156</v>
      </c>
    </row>
    <row r="94" spans="21:34">
      <c r="U94" s="125" t="s">
        <v>165</v>
      </c>
      <c r="V94" s="122">
        <v>0</v>
      </c>
      <c r="AA94" s="115">
        <f>(3/6)*AA92</f>
        <v>0.18663594470046085</v>
      </c>
      <c r="AB94" s="115">
        <f>(2/6)*AA92</f>
        <v>0.12442396313364057</v>
      </c>
      <c r="AC94" s="115">
        <f>(1/6)*AA92</f>
        <v>6.2211981566820285E-2</v>
      </c>
      <c r="AD94" s="102">
        <f>AD91/V91</f>
        <v>0.5161290322580645</v>
      </c>
      <c r="AE94" s="102">
        <f>AE91/V91</f>
        <v>0.11059907834101383</v>
      </c>
      <c r="AF94" t="s">
        <v>153</v>
      </c>
    </row>
    <row r="95" spans="21:34">
      <c r="U95" s="125" t="s">
        <v>166</v>
      </c>
      <c r="V95" s="122">
        <v>0</v>
      </c>
      <c r="AD95" s="7"/>
      <c r="AE95" s="7"/>
    </row>
    <row r="96" spans="21:34">
      <c r="U96" s="125" t="s">
        <v>167</v>
      </c>
      <c r="V96" s="122">
        <v>0</v>
      </c>
      <c r="X96" t="s">
        <v>148</v>
      </c>
      <c r="Y96">
        <f>100*V93/V103</f>
        <v>12.239142695995488</v>
      </c>
      <c r="AH96" t="s">
        <v>87</v>
      </c>
    </row>
    <row r="97" spans="21:36">
      <c r="U97" s="125" t="s">
        <v>168</v>
      </c>
      <c r="V97" s="122">
        <v>0</v>
      </c>
      <c r="X97" t="s">
        <v>146</v>
      </c>
      <c r="Y97">
        <f>100/Y96</f>
        <v>8.1705069124423968</v>
      </c>
      <c r="Z97">
        <f>Y90-Y97</f>
        <v>56.369493087557593</v>
      </c>
      <c r="AA97">
        <f>AA94*AA90</f>
        <v>6.6181105990783422</v>
      </c>
      <c r="AB97">
        <f>AB94*AA90</f>
        <v>4.4120737327188948</v>
      </c>
      <c r="AC97">
        <f>AC94*AA90</f>
        <v>2.2060368663594474</v>
      </c>
      <c r="AD97">
        <f>AD94*AA90</f>
        <v>18.301935483870967</v>
      </c>
      <c r="AE97">
        <f>AE94*AA90</f>
        <v>3.9218433179723506</v>
      </c>
      <c r="AF97" t="s">
        <v>157</v>
      </c>
      <c r="AH97">
        <f>SUM(Y97:AE97)</f>
        <v>99.999999999999972</v>
      </c>
    </row>
    <row r="98" spans="21:36">
      <c r="U98" s="125" t="s">
        <v>169</v>
      </c>
      <c r="V98" s="122">
        <v>21</v>
      </c>
      <c r="X98" s="128" t="s">
        <v>158</v>
      </c>
      <c r="Y98" s="128">
        <f t="shared" ref="Y98:AE98" si="19">ROUND(Y97,0)</f>
        <v>8</v>
      </c>
      <c r="Z98" s="128">
        <f t="shared" si="19"/>
        <v>56</v>
      </c>
      <c r="AA98" s="128">
        <f t="shared" si="19"/>
        <v>7</v>
      </c>
      <c r="AB98" s="128">
        <f t="shared" si="19"/>
        <v>4</v>
      </c>
      <c r="AC98" s="128">
        <f t="shared" si="19"/>
        <v>2</v>
      </c>
      <c r="AD98" s="128">
        <f t="shared" si="19"/>
        <v>18</v>
      </c>
      <c r="AE98" s="128">
        <f t="shared" si="19"/>
        <v>4</v>
      </c>
      <c r="AF98" s="128"/>
      <c r="AG98" s="128"/>
      <c r="AH98" s="128">
        <f>SUM(Y98:AE98)</f>
        <v>99</v>
      </c>
      <c r="AJ98" t="s">
        <v>176</v>
      </c>
    </row>
    <row r="99" spans="21:36">
      <c r="U99" s="125" t="s">
        <v>170</v>
      </c>
      <c r="V99" s="122">
        <v>1</v>
      </c>
    </row>
    <row r="100" spans="21:36">
      <c r="U100" s="125" t="s">
        <v>171</v>
      </c>
      <c r="V100" s="122">
        <v>28</v>
      </c>
    </row>
    <row r="101" spans="21:36">
      <c r="U101" s="125" t="s">
        <v>172</v>
      </c>
      <c r="V101" s="122">
        <v>4</v>
      </c>
    </row>
    <row r="102" spans="21:36">
      <c r="U102" s="125" t="s">
        <v>173</v>
      </c>
      <c r="V102" s="122">
        <v>612</v>
      </c>
    </row>
    <row r="103" spans="21:36">
      <c r="U103" s="125" t="s">
        <v>174</v>
      </c>
      <c r="V103" s="122">
        <v>35.46</v>
      </c>
    </row>
    <row r="105" spans="21:36">
      <c r="U105" s="125" t="s">
        <v>93</v>
      </c>
    </row>
    <row r="106" spans="21:36">
      <c r="U106" s="218" t="s">
        <v>160</v>
      </c>
      <c r="V106" s="218"/>
      <c r="Y106" t="s">
        <v>135</v>
      </c>
      <c r="Z106">
        <v>0</v>
      </c>
      <c r="AA106">
        <v>1</v>
      </c>
      <c r="AB106">
        <v>2</v>
      </c>
      <c r="AC106">
        <v>3</v>
      </c>
      <c r="AD106">
        <v>4</v>
      </c>
      <c r="AE106">
        <v>6</v>
      </c>
    </row>
    <row r="107" spans="21:36">
      <c r="U107" s="120" t="s">
        <v>98</v>
      </c>
      <c r="V107" s="121">
        <v>232</v>
      </c>
      <c r="X107" t="s">
        <v>149</v>
      </c>
      <c r="Y107" s="220" t="s">
        <v>150</v>
      </c>
      <c r="Z107" s="220"/>
      <c r="AA107" s="220" t="s">
        <v>151</v>
      </c>
      <c r="AB107" s="220"/>
      <c r="AC107" s="220"/>
      <c r="AD107" s="220"/>
      <c r="AE107" s="220"/>
    </row>
    <row r="108" spans="21:36">
      <c r="U108" s="120" t="s">
        <v>161</v>
      </c>
      <c r="V108" s="122">
        <v>6</v>
      </c>
      <c r="Y108" s="220">
        <f>100-V121</f>
        <v>39.479999999999997</v>
      </c>
      <c r="Z108" s="220"/>
      <c r="AA108" s="220">
        <f>V121</f>
        <v>60.52</v>
      </c>
      <c r="AB108" s="220"/>
      <c r="AC108" s="220"/>
      <c r="AD108" s="220"/>
      <c r="AE108" s="220"/>
    </row>
    <row r="109" spans="21:36">
      <c r="U109" s="120" t="s">
        <v>162</v>
      </c>
      <c r="V109" s="122">
        <v>11953</v>
      </c>
      <c r="AD109">
        <f>V118*4</f>
        <v>6232</v>
      </c>
      <c r="AE109">
        <f>V119*6</f>
        <v>528</v>
      </c>
    </row>
    <row r="110" spans="21:36">
      <c r="U110" s="120" t="s">
        <v>163</v>
      </c>
      <c r="V110" s="121" t="s">
        <v>234</v>
      </c>
      <c r="AA110" s="223">
        <f>1-SUM(AD110:AE110)</f>
        <v>0.4344516021082574</v>
      </c>
      <c r="AB110" s="220"/>
      <c r="AC110" s="220"/>
      <c r="AD110" s="102">
        <f>AD109/V109</f>
        <v>0.52137538693215091</v>
      </c>
      <c r="AE110" s="102">
        <f>AE109/V109</f>
        <v>4.4173010959591731E-2</v>
      </c>
      <c r="AF110" t="s">
        <v>152</v>
      </c>
    </row>
    <row r="111" spans="21:36">
      <c r="U111" s="120" t="s">
        <v>164</v>
      </c>
      <c r="V111" s="122">
        <v>52.89</v>
      </c>
      <c r="AA111" s="115" t="s">
        <v>154</v>
      </c>
      <c r="AB111" s="115" t="s">
        <v>155</v>
      </c>
      <c r="AC111" s="116" t="s">
        <v>156</v>
      </c>
    </row>
    <row r="112" spans="21:36">
      <c r="U112" s="120" t="s">
        <v>165</v>
      </c>
      <c r="V112" s="122">
        <v>48</v>
      </c>
      <c r="AA112" s="115">
        <f>(3/6)*AA110</f>
        <v>0.2172258010541287</v>
      </c>
      <c r="AB112" s="115">
        <f>(2/6)*AA110</f>
        <v>0.14481720070275245</v>
      </c>
      <c r="AC112" s="115">
        <f>(1/6)*AA110</f>
        <v>7.2408600351376223E-2</v>
      </c>
      <c r="AD112" s="102">
        <f>AD109/V109</f>
        <v>0.52137538693215091</v>
      </c>
      <c r="AE112" s="102">
        <f>AE109/V109</f>
        <v>4.4173010959591731E-2</v>
      </c>
      <c r="AF112" t="s">
        <v>153</v>
      </c>
    </row>
    <row r="113" spans="21:34">
      <c r="U113" s="120" t="s">
        <v>166</v>
      </c>
      <c r="V113" s="121">
        <v>34</v>
      </c>
      <c r="AD113" s="7"/>
      <c r="AE113" s="7"/>
    </row>
    <row r="114" spans="21:34">
      <c r="U114" s="120" t="s">
        <v>167</v>
      </c>
      <c r="V114" s="122">
        <v>9</v>
      </c>
      <c r="X114" t="s">
        <v>148</v>
      </c>
      <c r="Y114">
        <f>100*V111/V121</f>
        <v>87.392597488433566</v>
      </c>
      <c r="AH114" t="s">
        <v>87</v>
      </c>
    </row>
    <row r="115" spans="21:34">
      <c r="U115" s="120" t="s">
        <v>168</v>
      </c>
      <c r="V115" s="122">
        <v>2</v>
      </c>
      <c r="X115" t="s">
        <v>146</v>
      </c>
      <c r="Y115">
        <f>100/Y114</f>
        <v>1.1442616751748913</v>
      </c>
      <c r="Z115">
        <f>Y108-Y115</f>
        <v>38.335738324825108</v>
      </c>
      <c r="AA115">
        <f>AA112*AA108</f>
        <v>13.14650547979587</v>
      </c>
      <c r="AB115">
        <f>AB112*AA108</f>
        <v>8.7643369865305782</v>
      </c>
      <c r="AC115">
        <f>AC112*AA108</f>
        <v>4.3821684932652891</v>
      </c>
      <c r="AD115">
        <f>AD112*AA108</f>
        <v>31.553638417133776</v>
      </c>
      <c r="AE115">
        <f>AE112*AA108</f>
        <v>2.6733506232744917</v>
      </c>
      <c r="AF115" t="s">
        <v>157</v>
      </c>
      <c r="AH115">
        <f>SUM(Y115:AE115)</f>
        <v>99.999999999999986</v>
      </c>
    </row>
    <row r="116" spans="21:34">
      <c r="U116" s="120" t="s">
        <v>169</v>
      </c>
      <c r="V116" s="122">
        <v>17</v>
      </c>
      <c r="X116" s="128" t="s">
        <v>158</v>
      </c>
      <c r="Y116" s="128">
        <f t="shared" ref="Y116:AE116" si="20">ROUND(Y115,0)</f>
        <v>1</v>
      </c>
      <c r="Z116" s="128">
        <f t="shared" si="20"/>
        <v>38</v>
      </c>
      <c r="AA116" s="128">
        <f t="shared" si="20"/>
        <v>13</v>
      </c>
      <c r="AB116" s="128">
        <f t="shared" si="20"/>
        <v>9</v>
      </c>
      <c r="AC116" s="128">
        <f t="shared" si="20"/>
        <v>4</v>
      </c>
      <c r="AD116" s="128">
        <f t="shared" si="20"/>
        <v>32</v>
      </c>
      <c r="AE116" s="128">
        <f t="shared" si="20"/>
        <v>3</v>
      </c>
      <c r="AF116" s="128"/>
      <c r="AG116" s="128"/>
      <c r="AH116" s="128">
        <f>SUM(Y116:AE116)</f>
        <v>100</v>
      </c>
    </row>
    <row r="117" spans="21:34">
      <c r="U117" s="120" t="s">
        <v>170</v>
      </c>
      <c r="V117" s="122">
        <v>0</v>
      </c>
    </row>
    <row r="118" spans="21:34">
      <c r="U118" s="120" t="s">
        <v>171</v>
      </c>
      <c r="V118" s="122">
        <v>1558</v>
      </c>
    </row>
    <row r="119" spans="21:34">
      <c r="U119" s="120" t="s">
        <v>172</v>
      </c>
      <c r="V119" s="122">
        <v>88</v>
      </c>
    </row>
    <row r="120" spans="21:34">
      <c r="U120" s="120" t="s">
        <v>173</v>
      </c>
      <c r="V120" s="122">
        <v>19752</v>
      </c>
    </row>
    <row r="121" spans="21:34">
      <c r="U121" s="120" t="s">
        <v>174</v>
      </c>
      <c r="V121" s="122">
        <v>60.52</v>
      </c>
    </row>
    <row r="122" spans="21:34">
      <c r="U122" s="221"/>
      <c r="V122" s="221"/>
    </row>
    <row r="123" spans="21:34">
      <c r="U123" s="156" t="s">
        <v>235</v>
      </c>
    </row>
    <row r="124" spans="21:34">
      <c r="U124" s="218" t="s">
        <v>160</v>
      </c>
      <c r="V124" s="218"/>
      <c r="Y124" t="s">
        <v>135</v>
      </c>
      <c r="Z124">
        <v>0</v>
      </c>
      <c r="AA124">
        <v>1</v>
      </c>
      <c r="AB124">
        <v>2</v>
      </c>
      <c r="AC124">
        <v>3</v>
      </c>
      <c r="AD124">
        <v>4</v>
      </c>
      <c r="AE124">
        <v>6</v>
      </c>
    </row>
    <row r="125" spans="21:34">
      <c r="U125" s="120" t="s">
        <v>98</v>
      </c>
      <c r="V125" s="121">
        <v>56</v>
      </c>
      <c r="X125" t="s">
        <v>149</v>
      </c>
      <c r="Y125" s="220" t="s">
        <v>150</v>
      </c>
      <c r="Z125" s="220"/>
      <c r="AA125" s="220" t="s">
        <v>151</v>
      </c>
      <c r="AB125" s="220"/>
      <c r="AC125" s="220"/>
      <c r="AD125" s="220"/>
      <c r="AE125" s="220"/>
    </row>
    <row r="126" spans="21:34">
      <c r="U126" s="120" t="s">
        <v>161</v>
      </c>
      <c r="V126" s="122">
        <v>2</v>
      </c>
      <c r="Y126" s="220">
        <f>100-V139</f>
        <v>69.400000000000006</v>
      </c>
      <c r="Z126" s="220"/>
      <c r="AA126" s="220">
        <f>V139</f>
        <v>30.6</v>
      </c>
      <c r="AB126" s="220"/>
      <c r="AC126" s="220"/>
      <c r="AD126" s="220"/>
      <c r="AE126" s="220"/>
    </row>
    <row r="127" spans="21:34">
      <c r="U127" s="120" t="s">
        <v>162</v>
      </c>
      <c r="V127" s="122">
        <v>1755</v>
      </c>
      <c r="AD127">
        <f>V136*4</f>
        <v>700</v>
      </c>
      <c r="AE127">
        <f>V137*6</f>
        <v>0</v>
      </c>
    </row>
    <row r="128" spans="21:34">
      <c r="U128" s="120" t="s">
        <v>163</v>
      </c>
      <c r="V128" s="121">
        <v>149</v>
      </c>
      <c r="AA128" s="223">
        <f>1-SUM(AD128:AE128)</f>
        <v>0.60113960113960108</v>
      </c>
      <c r="AB128" s="220"/>
      <c r="AC128" s="220"/>
      <c r="AD128" s="102">
        <f>AD127/V127</f>
        <v>0.39886039886039887</v>
      </c>
      <c r="AE128" s="102">
        <f>AE127/V127</f>
        <v>0</v>
      </c>
      <c r="AF128" t="s">
        <v>152</v>
      </c>
    </row>
    <row r="129" spans="21:34">
      <c r="U129" s="120" t="s">
        <v>164</v>
      </c>
      <c r="V129" s="122">
        <v>32.5</v>
      </c>
      <c r="AA129" s="115" t="s">
        <v>154</v>
      </c>
      <c r="AB129" s="115" t="s">
        <v>155</v>
      </c>
      <c r="AC129" s="116" t="s">
        <v>156</v>
      </c>
    </row>
    <row r="130" spans="21:34">
      <c r="U130" s="120" t="s">
        <v>165</v>
      </c>
      <c r="V130" s="122">
        <v>12</v>
      </c>
      <c r="AA130" s="115">
        <f>(3/6)*AA128</f>
        <v>0.30056980056980054</v>
      </c>
      <c r="AB130" s="115">
        <f>(2/6)*AA128</f>
        <v>0.20037986704653368</v>
      </c>
      <c r="AC130" s="115">
        <f>(1/6)*AA128</f>
        <v>0.10018993352326684</v>
      </c>
      <c r="AD130" s="102">
        <f>AD127/V127</f>
        <v>0.39886039886039887</v>
      </c>
      <c r="AE130" s="102">
        <f>AE127/V127</f>
        <v>0</v>
      </c>
      <c r="AF130" t="s">
        <v>153</v>
      </c>
    </row>
    <row r="131" spans="21:34">
      <c r="U131" s="120" t="s">
        <v>166</v>
      </c>
      <c r="V131" s="121">
        <v>2</v>
      </c>
      <c r="AD131" s="7"/>
      <c r="AE131" s="7"/>
    </row>
    <row r="132" spans="21:34">
      <c r="U132" s="120" t="s">
        <v>167</v>
      </c>
      <c r="V132" s="122">
        <v>0</v>
      </c>
      <c r="X132" t="s">
        <v>148</v>
      </c>
      <c r="Y132">
        <f>100*V129/V139</f>
        <v>106.20915032679738</v>
      </c>
      <c r="AH132" t="s">
        <v>87</v>
      </c>
    </row>
    <row r="133" spans="21:34">
      <c r="U133" s="120" t="s">
        <v>168</v>
      </c>
      <c r="V133" s="122">
        <v>0</v>
      </c>
      <c r="X133" t="s">
        <v>146</v>
      </c>
      <c r="Y133">
        <f>100/Y132</f>
        <v>0.94153846153846155</v>
      </c>
      <c r="Z133">
        <f>Y126-Y133</f>
        <v>68.458461538461549</v>
      </c>
      <c r="AA133">
        <f>AA130*AA126</f>
        <v>9.1974358974358967</v>
      </c>
      <c r="AB133">
        <f>AB130*AA126</f>
        <v>6.1316239316239312</v>
      </c>
      <c r="AC133">
        <f>AC130*AA126</f>
        <v>3.0658119658119656</v>
      </c>
      <c r="AD133">
        <f>AD130*AA126</f>
        <v>12.205128205128206</v>
      </c>
      <c r="AE133">
        <f>AE130*AA126</f>
        <v>0</v>
      </c>
      <c r="AF133" t="s">
        <v>157</v>
      </c>
      <c r="AH133">
        <f>SUM(Y133:AE133)</f>
        <v>100</v>
      </c>
    </row>
    <row r="134" spans="21:34">
      <c r="U134" s="120" t="s">
        <v>169</v>
      </c>
      <c r="V134" s="122">
        <v>5</v>
      </c>
      <c r="X134" s="128" t="s">
        <v>158</v>
      </c>
      <c r="Y134" s="128">
        <f t="shared" ref="Y134:AE134" si="21">ROUND(Y133,0)</f>
        <v>1</v>
      </c>
      <c r="Z134" s="128">
        <f t="shared" si="21"/>
        <v>68</v>
      </c>
      <c r="AA134" s="128">
        <f t="shared" si="21"/>
        <v>9</v>
      </c>
      <c r="AB134" s="128">
        <f t="shared" si="21"/>
        <v>6</v>
      </c>
      <c r="AC134" s="128">
        <f t="shared" si="21"/>
        <v>3</v>
      </c>
      <c r="AD134" s="128">
        <f t="shared" si="21"/>
        <v>12</v>
      </c>
      <c r="AE134" s="128">
        <f t="shared" si="21"/>
        <v>0</v>
      </c>
      <c r="AF134" s="128"/>
      <c r="AG134" s="128"/>
      <c r="AH134" s="128">
        <f>SUM(Y134:AE134)</f>
        <v>99</v>
      </c>
    </row>
    <row r="135" spans="21:34">
      <c r="U135" s="120" t="s">
        <v>170</v>
      </c>
      <c r="V135" s="122">
        <v>0</v>
      </c>
    </row>
    <row r="136" spans="21:34" s="99" customFormat="1">
      <c r="U136" s="120" t="s">
        <v>171</v>
      </c>
      <c r="V136" s="122">
        <v>175</v>
      </c>
    </row>
    <row r="137" spans="21:34" s="99" customFormat="1">
      <c r="U137" s="120" t="s">
        <v>172</v>
      </c>
      <c r="V137" s="122">
        <v>0</v>
      </c>
    </row>
    <row r="138" spans="21:34">
      <c r="U138" s="120" t="s">
        <v>173</v>
      </c>
      <c r="V138" s="122">
        <v>5735</v>
      </c>
    </row>
    <row r="139" spans="21:34">
      <c r="U139" s="120" t="s">
        <v>174</v>
      </c>
      <c r="V139" s="122">
        <v>30.6</v>
      </c>
    </row>
    <row r="140" spans="21:34">
      <c r="U140" s="221"/>
      <c r="V140" s="221"/>
    </row>
    <row r="141" spans="21:34">
      <c r="U141" s="156" t="s">
        <v>237</v>
      </c>
    </row>
    <row r="142" spans="21:34">
      <c r="U142" s="218" t="s">
        <v>160</v>
      </c>
      <c r="V142" s="218"/>
      <c r="Y142" t="s">
        <v>135</v>
      </c>
      <c r="Z142">
        <v>0</v>
      </c>
      <c r="AA142">
        <v>1</v>
      </c>
      <c r="AB142">
        <v>2</v>
      </c>
      <c r="AC142">
        <v>3</v>
      </c>
      <c r="AD142">
        <v>4</v>
      </c>
      <c r="AE142">
        <v>6</v>
      </c>
    </row>
    <row r="143" spans="21:34">
      <c r="U143" s="120" t="s">
        <v>98</v>
      </c>
      <c r="V143" s="121">
        <v>329</v>
      </c>
      <c r="X143" t="s">
        <v>149</v>
      </c>
      <c r="Y143" s="220" t="s">
        <v>150</v>
      </c>
      <c r="Z143" s="220"/>
      <c r="AA143" s="220" t="s">
        <v>151</v>
      </c>
      <c r="AB143" s="220"/>
      <c r="AC143" s="220"/>
      <c r="AD143" s="220"/>
      <c r="AE143" s="220"/>
    </row>
    <row r="144" spans="21:34">
      <c r="U144" s="120" t="s">
        <v>161</v>
      </c>
      <c r="V144" s="122">
        <v>33</v>
      </c>
      <c r="Y144" s="222">
        <f>100-V157</f>
        <v>45.915004925773687</v>
      </c>
      <c r="Z144" s="220"/>
      <c r="AA144" s="222">
        <f>V157</f>
        <v>54.084995074226313</v>
      </c>
      <c r="AB144" s="220"/>
      <c r="AC144" s="220"/>
      <c r="AD144" s="220"/>
      <c r="AE144" s="220"/>
    </row>
    <row r="145" spans="21:36">
      <c r="U145" s="120" t="s">
        <v>162</v>
      </c>
      <c r="V145" s="122">
        <v>15921</v>
      </c>
      <c r="AD145">
        <f>V154*4</f>
        <v>8232</v>
      </c>
      <c r="AE145">
        <f>V155*6</f>
        <v>414</v>
      </c>
    </row>
    <row r="146" spans="21:36">
      <c r="U146" s="120" t="s">
        <v>163</v>
      </c>
      <c r="V146" s="121" t="s">
        <v>238</v>
      </c>
      <c r="AA146" s="223">
        <f>1-SUM(AD146:AE146)</f>
        <v>0.45694365931788206</v>
      </c>
      <c r="AB146" s="220"/>
      <c r="AC146" s="220"/>
      <c r="AD146" s="102">
        <f>AD145/V145</f>
        <v>0.51705294893536835</v>
      </c>
      <c r="AE146" s="102">
        <f>AE145/V145</f>
        <v>2.6003391746749576E-2</v>
      </c>
      <c r="AF146" t="s">
        <v>152</v>
      </c>
    </row>
    <row r="147" spans="21:36">
      <c r="U147" s="120" t="s">
        <v>164</v>
      </c>
      <c r="V147" s="122">
        <v>53.79</v>
      </c>
      <c r="AA147" s="115" t="s">
        <v>154</v>
      </c>
      <c r="AB147" s="115" t="s">
        <v>155</v>
      </c>
      <c r="AC147" s="116" t="s">
        <v>156</v>
      </c>
    </row>
    <row r="148" spans="21:36">
      <c r="U148" s="120" t="s">
        <v>165</v>
      </c>
      <c r="V148" s="122">
        <v>68</v>
      </c>
      <c r="AA148" s="115">
        <f>(3/6)*AA146</f>
        <v>0.22847182965894103</v>
      </c>
      <c r="AB148" s="115">
        <f>(2/6)*AA146</f>
        <v>0.15231455310596068</v>
      </c>
      <c r="AC148" s="115">
        <f>(1/6)*AA146</f>
        <v>7.6157276552980338E-2</v>
      </c>
      <c r="AD148" s="102">
        <f>AD145/V145</f>
        <v>0.51705294893536835</v>
      </c>
      <c r="AE148" s="102">
        <f>AE145/V145</f>
        <v>2.6003391746749576E-2</v>
      </c>
      <c r="AF148" t="s">
        <v>153</v>
      </c>
    </row>
    <row r="149" spans="21:36">
      <c r="U149" s="120" t="s">
        <v>166</v>
      </c>
      <c r="V149" s="121">
        <v>51</v>
      </c>
      <c r="AD149" s="7"/>
      <c r="AE149" s="7"/>
    </row>
    <row r="150" spans="21:36">
      <c r="U150" s="120" t="s">
        <v>167</v>
      </c>
      <c r="V150" s="122">
        <v>6</v>
      </c>
      <c r="X150" t="s">
        <v>148</v>
      </c>
      <c r="Y150">
        <f>100*V147/V157</f>
        <v>99.454571320896932</v>
      </c>
      <c r="AH150" t="s">
        <v>87</v>
      </c>
    </row>
    <row r="151" spans="21:36">
      <c r="U151" s="120" t="s">
        <v>168</v>
      </c>
      <c r="V151" s="122">
        <v>0</v>
      </c>
      <c r="X151" t="s">
        <v>146</v>
      </c>
      <c r="Y151">
        <f>100/Y150</f>
        <v>1.0054841991862113</v>
      </c>
      <c r="Z151" s="110">
        <f>Y144-Y151</f>
        <v>44.909520726587473</v>
      </c>
      <c r="AA151">
        <f>AA148*AA144</f>
        <v>12.356897781703299</v>
      </c>
      <c r="AB151">
        <f>AB148*AA144</f>
        <v>8.2379318544688651</v>
      </c>
      <c r="AC151">
        <f>AC148*AA144</f>
        <v>4.1189659272344326</v>
      </c>
      <c r="AD151">
        <f>AD148*AA144</f>
        <v>27.964806196283586</v>
      </c>
      <c r="AE151">
        <f>AE148*AA144</f>
        <v>1.406393314536128</v>
      </c>
      <c r="AF151" t="s">
        <v>157</v>
      </c>
      <c r="AH151">
        <f>SUM(Y151:AE151)</f>
        <v>100</v>
      </c>
    </row>
    <row r="152" spans="21:36">
      <c r="U152" s="120" t="s">
        <v>169</v>
      </c>
      <c r="V152" s="122">
        <v>14</v>
      </c>
      <c r="X152" s="128" t="s">
        <v>158</v>
      </c>
      <c r="Y152" s="128">
        <f t="shared" ref="Y152:AE152" si="22">ROUND(Y151,0)</f>
        <v>1</v>
      </c>
      <c r="Z152" s="128">
        <f t="shared" si="22"/>
        <v>45</v>
      </c>
      <c r="AA152" s="128">
        <f t="shared" si="22"/>
        <v>12</v>
      </c>
      <c r="AB152" s="128">
        <f t="shared" si="22"/>
        <v>8</v>
      </c>
      <c r="AC152" s="128">
        <f t="shared" si="22"/>
        <v>4</v>
      </c>
      <c r="AD152" s="128">
        <f t="shared" si="22"/>
        <v>28</v>
      </c>
      <c r="AE152" s="128">
        <f t="shared" si="22"/>
        <v>1</v>
      </c>
      <c r="AF152" s="128"/>
      <c r="AG152" s="128"/>
      <c r="AH152" s="128">
        <f>SUM(Y152:AE152)</f>
        <v>99</v>
      </c>
    </row>
    <row r="153" spans="21:36">
      <c r="U153" s="120" t="s">
        <v>170</v>
      </c>
      <c r="V153" s="122">
        <v>0</v>
      </c>
    </row>
    <row r="154" spans="21:36">
      <c r="U154" s="120" t="s">
        <v>171</v>
      </c>
      <c r="V154" s="122">
        <v>2058</v>
      </c>
    </row>
    <row r="155" spans="21:36">
      <c r="U155" s="120" t="s">
        <v>172</v>
      </c>
      <c r="V155" s="122">
        <v>69</v>
      </c>
    </row>
    <row r="156" spans="21:36">
      <c r="U156" s="120" t="s">
        <v>173</v>
      </c>
      <c r="V156" s="122">
        <v>29437</v>
      </c>
    </row>
    <row r="157" spans="21:36">
      <c r="U157" s="120" t="s">
        <v>174</v>
      </c>
      <c r="V157" s="157">
        <f>100*V145/V156</f>
        <v>54.084995074226313</v>
      </c>
    </row>
    <row r="158" spans="21:36">
      <c r="U158" s="221"/>
      <c r="V158" s="221"/>
      <c r="X158" t="s">
        <v>243</v>
      </c>
    </row>
    <row r="159" spans="21:36">
      <c r="X159" s="159" t="s">
        <v>239</v>
      </c>
      <c r="Y159" s="160" t="s">
        <v>240</v>
      </c>
      <c r="Z159" s="160" t="s">
        <v>241</v>
      </c>
      <c r="AA159" s="160" t="s">
        <v>126</v>
      </c>
      <c r="AB159" s="160" t="s">
        <v>127</v>
      </c>
      <c r="AC159" s="160" t="s">
        <v>128</v>
      </c>
      <c r="AD159" s="160" t="s">
        <v>129</v>
      </c>
      <c r="AE159" s="160" t="s">
        <v>130</v>
      </c>
      <c r="AF159" s="160" t="s">
        <v>131</v>
      </c>
      <c r="AG159" s="160" t="s">
        <v>132</v>
      </c>
      <c r="AH159" s="160" t="s">
        <v>133</v>
      </c>
      <c r="AI159" s="160" t="s">
        <v>5</v>
      </c>
      <c r="AJ159" s="160" t="s">
        <v>6</v>
      </c>
    </row>
    <row r="160" spans="21:36">
      <c r="X160" s="161" t="s">
        <v>83</v>
      </c>
      <c r="Y160" s="162">
        <v>108</v>
      </c>
      <c r="Z160" s="162">
        <v>193</v>
      </c>
      <c r="AA160" s="162">
        <v>23</v>
      </c>
      <c r="AB160" s="162">
        <v>8114</v>
      </c>
      <c r="AC160" s="162" t="s">
        <v>242</v>
      </c>
      <c r="AD160" s="162">
        <v>47.7</v>
      </c>
      <c r="AE160" s="162">
        <v>20412</v>
      </c>
      <c r="AF160" s="162">
        <v>39.799999999999997</v>
      </c>
      <c r="AG160" s="162">
        <v>22</v>
      </c>
      <c r="AH160" s="162">
        <v>42</v>
      </c>
      <c r="AI160" s="162">
        <v>771</v>
      </c>
      <c r="AJ160" s="162">
        <v>8</v>
      </c>
    </row>
    <row r="162" spans="9:36">
      <c r="O162" s="134" t="s">
        <v>10</v>
      </c>
      <c r="Q162">
        <f>Z160-AA160</f>
        <v>170</v>
      </c>
      <c r="X162" t="s">
        <v>35</v>
      </c>
      <c r="Y162">
        <v>0</v>
      </c>
      <c r="Z162">
        <v>1</v>
      </c>
      <c r="AA162">
        <v>2</v>
      </c>
      <c r="AB162">
        <v>3</v>
      </c>
      <c r="AC162">
        <v>4</v>
      </c>
      <c r="AE162">
        <v>6</v>
      </c>
    </row>
    <row r="163" spans="9:36">
      <c r="O163" s="134" t="s">
        <v>3</v>
      </c>
      <c r="Q163">
        <f>AB160</f>
        <v>8114</v>
      </c>
      <c r="W163" t="s">
        <v>148</v>
      </c>
      <c r="X163">
        <f>100*AD160/AF160</f>
        <v>119.84924623115579</v>
      </c>
      <c r="AC163">
        <f>100*(6*AI160)/AB160</f>
        <v>57.012570865171305</v>
      </c>
      <c r="AE163">
        <f>100*(6*AJ160)/AB160</f>
        <v>0.59157012570865175</v>
      </c>
    </row>
    <row r="164" spans="9:36">
      <c r="O164" s="134" t="s">
        <v>196</v>
      </c>
      <c r="Q164">
        <f>Q163/Q162</f>
        <v>47.72941176470588</v>
      </c>
      <c r="W164" t="s">
        <v>194</v>
      </c>
      <c r="X164">
        <f>100/X163</f>
        <v>0.83438155136268333</v>
      </c>
    </row>
    <row r="165" spans="9:36">
      <c r="O165" s="134"/>
      <c r="X165" s="128">
        <f>ROUND(X164,2)</f>
        <v>0.83</v>
      </c>
    </row>
    <row r="166" spans="9:36">
      <c r="O166" s="134" t="s">
        <v>3</v>
      </c>
      <c r="Q166">
        <f>AB160</f>
        <v>8114</v>
      </c>
    </row>
    <row r="167" spans="9:36">
      <c r="O167" s="134" t="s">
        <v>4</v>
      </c>
      <c r="Q167">
        <f>AE160</f>
        <v>20412</v>
      </c>
    </row>
    <row r="168" spans="9:36">
      <c r="O168" s="134" t="s">
        <v>244</v>
      </c>
      <c r="Q168">
        <f>100*Q166/Q167</f>
        <v>39.751126788163823</v>
      </c>
    </row>
    <row r="170" spans="9:36" s="3" customFormat="1" ht="15" thickBot="1">
      <c r="I170" s="100"/>
      <c r="O170" s="100" t="s">
        <v>245</v>
      </c>
      <c r="Q170" s="3">
        <f>100*Q162/Q167</f>
        <v>0.83284342543601808</v>
      </c>
      <c r="X170" s="99" t="s">
        <v>248</v>
      </c>
      <c r="Y170" s="99"/>
      <c r="Z170" s="99"/>
      <c r="AA170" s="99"/>
      <c r="AB170" s="99"/>
      <c r="AC170" s="99"/>
      <c r="AD170" s="99"/>
      <c r="AE170" s="99"/>
      <c r="AF170" s="99"/>
      <c r="AG170" s="99"/>
      <c r="AH170" s="99"/>
      <c r="AI170" s="99"/>
      <c r="AJ170" s="99"/>
    </row>
    <row r="171" spans="9:36" s="3" customFormat="1" ht="15" thickBot="1">
      <c r="I171" s="100"/>
      <c r="X171" s="146" t="s">
        <v>202</v>
      </c>
      <c r="Y171" s="146" t="s">
        <v>203</v>
      </c>
      <c r="Z171" s="146" t="s">
        <v>127</v>
      </c>
      <c r="AA171" s="146" t="s">
        <v>217</v>
      </c>
      <c r="AB171" s="146" t="s">
        <v>246</v>
      </c>
      <c r="AC171" s="146" t="s">
        <v>129</v>
      </c>
      <c r="AD171" s="146" t="s">
        <v>131</v>
      </c>
      <c r="AE171" s="146" t="s">
        <v>128</v>
      </c>
      <c r="AF171" s="146">
        <v>50</v>
      </c>
      <c r="AG171" s="146">
        <v>100</v>
      </c>
      <c r="AH171" s="146" t="s">
        <v>5</v>
      </c>
      <c r="AI171" s="146" t="s">
        <v>6</v>
      </c>
      <c r="AJ171" s="146" t="s">
        <v>247</v>
      </c>
    </row>
    <row r="172" spans="9:36" s="3" customFormat="1" ht="15" thickBot="1">
      <c r="I172" s="100"/>
      <c r="X172" s="147" t="s">
        <v>87</v>
      </c>
      <c r="Y172" s="147">
        <v>162</v>
      </c>
      <c r="Z172" s="148">
        <v>6579</v>
      </c>
      <c r="AA172" s="148">
        <v>15683</v>
      </c>
      <c r="AB172" s="147">
        <v>152</v>
      </c>
      <c r="AC172" s="147">
        <v>43.3</v>
      </c>
      <c r="AD172" s="147">
        <v>41.9</v>
      </c>
      <c r="AE172" s="147">
        <v>302</v>
      </c>
      <c r="AF172" s="147">
        <v>33</v>
      </c>
      <c r="AG172" s="147">
        <v>18</v>
      </c>
      <c r="AH172" s="147">
        <v>638</v>
      </c>
      <c r="AI172" s="147">
        <v>18</v>
      </c>
      <c r="AJ172" s="147">
        <v>76.7</v>
      </c>
    </row>
    <row r="173" spans="9:36" s="3" customFormat="1">
      <c r="I173" s="100"/>
      <c r="X173" s="163" t="s">
        <v>35</v>
      </c>
      <c r="Y173" s="163">
        <v>0</v>
      </c>
      <c r="Z173" s="164">
        <v>1</v>
      </c>
      <c r="AA173" s="164">
        <v>2</v>
      </c>
      <c r="AB173" s="164">
        <v>3</v>
      </c>
      <c r="AC173" s="163">
        <v>4</v>
      </c>
      <c r="AD173" s="163">
        <v>6</v>
      </c>
      <c r="AE173" s="163" t="s">
        <v>251</v>
      </c>
      <c r="AF173" s="163" t="s">
        <v>87</v>
      </c>
      <c r="AG173" s="163" t="s">
        <v>250</v>
      </c>
    </row>
    <row r="174" spans="9:36" s="3" customFormat="1">
      <c r="I174" s="100"/>
      <c r="W174" s="3" t="s">
        <v>3</v>
      </c>
      <c r="X174" s="165"/>
      <c r="Y174" s="165"/>
      <c r="Z174" s="165">
        <f>Z176*(Z172-AE174)</f>
        <v>3135.2000000000003</v>
      </c>
      <c r="AA174" s="165">
        <f>AA176*(Z172-AE174)</f>
        <v>587.85</v>
      </c>
      <c r="AB174" s="165">
        <f>AB176*(Z172-AE174)</f>
        <v>195.95000000000002</v>
      </c>
      <c r="AC174" s="165">
        <f>AH172*4</f>
        <v>2552</v>
      </c>
      <c r="AD174" s="165">
        <f>AI172*6</f>
        <v>108</v>
      </c>
      <c r="AE174" s="166">
        <f>SUM(AC174:AD174)</f>
        <v>2660</v>
      </c>
      <c r="AF174" s="3">
        <f>SUM(Z174:AD174)</f>
        <v>6579</v>
      </c>
      <c r="AG174" s="166">
        <f>Z172- AF174</f>
        <v>0</v>
      </c>
    </row>
    <row r="175" spans="9:36" s="3" customFormat="1">
      <c r="I175" s="100"/>
      <c r="W175" s="3" t="s">
        <v>4</v>
      </c>
      <c r="X175" s="165">
        <v>152</v>
      </c>
      <c r="Y175" s="165">
        <f>AA172*(AJ172/100)</f>
        <v>12028.861000000001</v>
      </c>
      <c r="Z175" s="165">
        <f>Z176*(AA172-AE175)</f>
        <v>2276.9111999999996</v>
      </c>
      <c r="AA175" s="165">
        <f>AA176*(AA172-AE175)</f>
        <v>426.92084999999986</v>
      </c>
      <c r="AB175" s="165">
        <f>AB176*(AA172-AE175)</f>
        <v>142.30694999999997</v>
      </c>
      <c r="AC175" s="165">
        <f>AH172</f>
        <v>638</v>
      </c>
      <c r="AD175" s="165">
        <f>AI172</f>
        <v>18</v>
      </c>
      <c r="AE175" s="3">
        <f>SUM(X175:Y175,AC175:AD175)</f>
        <v>12836.861000000001</v>
      </c>
      <c r="AF175" s="3">
        <f>SUM(X175:AD175)</f>
        <v>15683</v>
      </c>
      <c r="AG175" s="166">
        <f>AA172-AF175</f>
        <v>0</v>
      </c>
    </row>
    <row r="176" spans="9:36" s="3" customFormat="1">
      <c r="I176" s="100"/>
      <c r="Z176" s="167">
        <v>0.8</v>
      </c>
      <c r="AA176" s="167">
        <v>0.15</v>
      </c>
      <c r="AB176" s="167">
        <v>0.05</v>
      </c>
    </row>
    <row r="177" spans="9:36" s="3" customFormat="1">
      <c r="I177" s="100"/>
      <c r="W177" s="168" t="s">
        <v>249</v>
      </c>
      <c r="X177" s="168">
        <f>100*AB172/AA172</f>
        <v>0.96920232098450554</v>
      </c>
      <c r="Y177" s="168">
        <f>AJ172</f>
        <v>76.7</v>
      </c>
      <c r="Z177" s="168">
        <f>100*Z175/AA172</f>
        <v>14.518339603392207</v>
      </c>
      <c r="AA177" s="168">
        <f>100*AA175/AA172</f>
        <v>2.7221886756360378</v>
      </c>
      <c r="AB177" s="168">
        <f>100*AB175/AA172</f>
        <v>0.90739622521201291</v>
      </c>
      <c r="AC177" s="168">
        <f>100*AH172/AA172</f>
        <v>4.0680992157112801</v>
      </c>
      <c r="AD177" s="168">
        <f>100*AI172/AA172</f>
        <v>0.1147739590639546</v>
      </c>
      <c r="AE177" s="168"/>
      <c r="AF177" s="168">
        <f>SUM(X177:AD177)</f>
        <v>100</v>
      </c>
    </row>
    <row r="178" spans="9:36" s="3" customFormat="1">
      <c r="I178" s="100"/>
      <c r="Z178" s="165">
        <f t="shared" ref="Z178:AC178" si="23">Z177*Z173</f>
        <v>14.518339603392207</v>
      </c>
      <c r="AA178" s="165">
        <f t="shared" si="23"/>
        <v>5.4443773512720757</v>
      </c>
      <c r="AB178" s="165">
        <f t="shared" si="23"/>
        <v>2.7221886756360387</v>
      </c>
      <c r="AC178" s="165">
        <f t="shared" si="23"/>
        <v>16.27239686284512</v>
      </c>
      <c r="AD178" s="165">
        <f>AD177*AD173</f>
        <v>0.6886437543837276</v>
      </c>
      <c r="AE178" s="165"/>
      <c r="AF178" s="165">
        <f>SUM(Z178:AD178)</f>
        <v>39.645946247529167</v>
      </c>
      <c r="AG178" s="165" t="s">
        <v>252</v>
      </c>
    </row>
    <row r="179" spans="9:36" s="3" customFormat="1">
      <c r="I179" s="100"/>
      <c r="Z179" s="169"/>
      <c r="AF179" s="165">
        <f>AD172</f>
        <v>41.9</v>
      </c>
      <c r="AG179" s="165" t="s">
        <v>253</v>
      </c>
    </row>
    <row r="180" spans="9:36" ht="15" thickBot="1"/>
    <row r="181" spans="9:36" s="142" customFormat="1" ht="15" thickBot="1">
      <c r="I181" s="99"/>
      <c r="X181" s="143" t="s">
        <v>202</v>
      </c>
      <c r="Y181" s="143" t="s">
        <v>203</v>
      </c>
      <c r="Z181" s="143" t="s">
        <v>127</v>
      </c>
      <c r="AA181" s="143" t="s">
        <v>217</v>
      </c>
      <c r="AB181" s="143" t="s">
        <v>246</v>
      </c>
      <c r="AC181" s="143" t="s">
        <v>129</v>
      </c>
      <c r="AD181" s="143" t="s">
        <v>131</v>
      </c>
      <c r="AE181" s="143" t="s">
        <v>128</v>
      </c>
      <c r="AF181" s="143">
        <v>50</v>
      </c>
      <c r="AG181" s="143">
        <v>100</v>
      </c>
      <c r="AH181" s="143" t="s">
        <v>5</v>
      </c>
      <c r="AI181" s="143" t="s">
        <v>6</v>
      </c>
      <c r="AJ181" s="143" t="s">
        <v>247</v>
      </c>
    </row>
    <row r="182" spans="9:36" s="142" customFormat="1" ht="15" thickBot="1">
      <c r="I182" s="99"/>
      <c r="X182" s="144" t="s">
        <v>87</v>
      </c>
      <c r="Y182" s="144">
        <v>175</v>
      </c>
      <c r="Z182" s="145">
        <v>8351</v>
      </c>
      <c r="AA182" s="145">
        <v>10083</v>
      </c>
      <c r="AB182" s="144">
        <v>169</v>
      </c>
      <c r="AC182" s="144">
        <v>49.4</v>
      </c>
      <c r="AD182" s="144">
        <v>82.8</v>
      </c>
      <c r="AE182" s="144">
        <v>319</v>
      </c>
      <c r="AF182" s="144">
        <v>31</v>
      </c>
      <c r="AG182" s="144">
        <v>22</v>
      </c>
      <c r="AH182" s="145">
        <v>1194</v>
      </c>
      <c r="AI182" s="144">
        <v>90</v>
      </c>
      <c r="AJ182" s="144">
        <v>63.3</v>
      </c>
    </row>
  </sheetData>
  <mergeCells count="60">
    <mergeCell ref="B13:B17"/>
    <mergeCell ref="D1:H1"/>
    <mergeCell ref="B3:B7"/>
    <mergeCell ref="I3:I6"/>
    <mergeCell ref="I8:I11"/>
    <mergeCell ref="D11:H11"/>
    <mergeCell ref="AC6:AD6"/>
    <mergeCell ref="Y23:Z23"/>
    <mergeCell ref="AA23:AE23"/>
    <mergeCell ref="AA22:AE22"/>
    <mergeCell ref="Y22:Z22"/>
    <mergeCell ref="AA25:AC25"/>
    <mergeCell ref="Y40:Z40"/>
    <mergeCell ref="AA40:AE40"/>
    <mergeCell ref="Y41:Z41"/>
    <mergeCell ref="AA41:AE41"/>
    <mergeCell ref="U52:V52"/>
    <mergeCell ref="Y53:Z53"/>
    <mergeCell ref="AA53:AE53"/>
    <mergeCell ref="Y54:Z54"/>
    <mergeCell ref="AA54:AE54"/>
    <mergeCell ref="U124:V124"/>
    <mergeCell ref="U122:V122"/>
    <mergeCell ref="AL18:AL21"/>
    <mergeCell ref="AL23:AL26"/>
    <mergeCell ref="U106:V106"/>
    <mergeCell ref="Y107:Z107"/>
    <mergeCell ref="AA107:AE107"/>
    <mergeCell ref="U88:V88"/>
    <mergeCell ref="Y89:Z89"/>
    <mergeCell ref="AA89:AE89"/>
    <mergeCell ref="Y90:Z90"/>
    <mergeCell ref="AA90:AE90"/>
    <mergeCell ref="AA92:AC92"/>
    <mergeCell ref="U70:V70"/>
    <mergeCell ref="Y71:Z71"/>
    <mergeCell ref="AA71:AE71"/>
    <mergeCell ref="Y108:Z108"/>
    <mergeCell ref="AA108:AE108"/>
    <mergeCell ref="AA110:AC110"/>
    <mergeCell ref="AL41:AL44"/>
    <mergeCell ref="AL46:AL49"/>
    <mergeCell ref="Y72:Z72"/>
    <mergeCell ref="AA72:AE72"/>
    <mergeCell ref="AA74:AC74"/>
    <mergeCell ref="AA56:AC56"/>
    <mergeCell ref="AA43:AC43"/>
    <mergeCell ref="U140:V140"/>
    <mergeCell ref="Y125:Z125"/>
    <mergeCell ref="AA125:AE125"/>
    <mergeCell ref="Y126:Z126"/>
    <mergeCell ref="AA126:AE126"/>
    <mergeCell ref="AA128:AC128"/>
    <mergeCell ref="U142:V142"/>
    <mergeCell ref="U158:V158"/>
    <mergeCell ref="Y143:Z143"/>
    <mergeCell ref="AA143:AE143"/>
    <mergeCell ref="Y144:Z144"/>
    <mergeCell ref="AA144:AE144"/>
    <mergeCell ref="AA146:AC146"/>
  </mergeCells>
  <hyperlinks>
    <hyperlink ref="V53" r:id="rId1" display="http://www.howstat.com/cricket/Statistics/Players/PlayerProgressBat.asp?PlayerID=2878" xr:uid="{A89F4F1B-3125-42D0-B24D-C4D8DED3DE3E}"/>
    <hyperlink ref="V56" r:id="rId2" display="http://www.howstat.com/cricket/Statistics/Matches/MatchScoreCard.asp?MatchCode=1888" xr:uid="{1B490676-241B-4319-9917-4A26D8DCB2D6}"/>
    <hyperlink ref="V59" r:id="rId3" display="http://www.howstat.com/cricket/Statistics/Players/PlayerNotables.asp?PlayerID=2878&amp;s=2" xr:uid="{5F80FAB9-C9BF-414D-B93F-7F8B87338F50}"/>
    <hyperlink ref="V71" r:id="rId4" display="http://www.howstat.com/cricket/Statistics/Players/PlayerProgressBat.asp?PlayerID=1781" xr:uid="{90D54E03-0AAF-46E8-842D-50E74DFCCD30}"/>
    <hyperlink ref="V74" r:id="rId5" display="http://www.howstat.com/cricket/Statistics/Matches/MatchScoreCard.asp?MatchCode=1213" xr:uid="{DCCF7673-6331-4624-87A7-764E5EE8E0FF}"/>
    <hyperlink ref="V89" r:id="rId6" display="http://www.howstat.com/cricket/Statistics/Players/PlayerProgressBat.asp?PlayerID=3952" xr:uid="{960057A4-9E66-4A20-9214-6D922AAE6D7F}"/>
    <hyperlink ref="V92" r:id="rId7" display="http://www.howstat.com/cricket/Statistics/Matches/MatchScoreCard.asp?MatchCode=2177" xr:uid="{BC5481D7-B322-4BCA-BAF2-681785071F77}"/>
    <hyperlink ref="V107" r:id="rId8" display="http://www.howstat.com/cricket/Statistics/Players/PlayerProgressBat.asp?PlayerID=0979" xr:uid="{215F7A6C-D627-49DB-AB02-3583AE2A04A6}"/>
    <hyperlink ref="V110" r:id="rId9" display="http://www.howstat.com/cricket/Statistics/Matches/MatchScoreCard.asp?MatchCode=1714" xr:uid="{26A4E217-B75A-4C80-8AC2-E1D263C5AE8F}"/>
    <hyperlink ref="V113" r:id="rId10" display="http://www.howstat.com/cricket/Statistics/Players/PlayerNotables.asp?PlayerID=0979&amp;s=2" xr:uid="{6AB5B780-6481-4A78-B1E1-668E6D127717}"/>
    <hyperlink ref="V125" r:id="rId11" display="http://www.howstat.com/cricket/Statistics/Players/PlayerProgressBat.asp?PlayerID=1720" xr:uid="{598E947A-F2BA-4AE9-852F-C2DBBC8CB1A1}"/>
    <hyperlink ref="V128" r:id="rId12" display="http://www.howstat.com/cricket/Statistics/Matches/MatchScoreCard.asp?MatchCode=0914" xr:uid="{1C4300A2-E956-451D-9919-100F1AB7415D}"/>
    <hyperlink ref="V131" r:id="rId13" display="http://www.howstat.com/cricket/Statistics/Players/PlayerNotables.asp?PlayerID=1720&amp;s=2" xr:uid="{E708B0F4-082B-4641-AAF4-DBBEDBE0AB8F}"/>
    <hyperlink ref="V143" r:id="rId14" display="http://www.howstat.com/cricket/Statistics/Players/PlayerProgressBat.asp?PlayerID=1735" xr:uid="{0A272C6B-31C3-4078-9C3A-3540F263C96E}"/>
    <hyperlink ref="V146" r:id="rId15" display="http://www.howstat.com/cricket/Statistics/Matches/MatchScoreCard.asp?MatchCode=1743" xr:uid="{F4D0AAD5-5451-490F-83B3-9504D8014900}"/>
    <hyperlink ref="V149" r:id="rId16" display="http://www.howstat.com/cricket/Statistics/Players/PlayerNotables.asp?PlayerID=1735&amp;s=2" xr:uid="{42653552-D8A8-4D83-A50C-8E60B6DF5ADA}"/>
  </hyperlinks>
  <pageMargins left="0.7" right="0.7" top="0.75" bottom="0.75" header="0.3" footer="0.3"/>
  <pageSetup paperSize="9" orientation="portrait" horizontalDpi="0" verticalDpi="0" r:id="rId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 sheet</vt:lpstr>
      <vt:lpstr>Match sheet</vt:lpstr>
      <vt:lpstr>info</vt:lpstr>
      <vt:lpstr>Innings scorecards</vt:lpstr>
      <vt:lpstr>Sheet1</vt:lpstr>
      <vt:lpstr>BowlingX</vt:lpstr>
      <vt:lpstr>T20 calcs</vt:lpstr>
      <vt:lpstr>BattingX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Johns</dc:creator>
  <cp:lastModifiedBy>Jeremy Johns</cp:lastModifiedBy>
  <dcterms:created xsi:type="dcterms:W3CDTF">2021-03-27T18:21:03Z</dcterms:created>
  <dcterms:modified xsi:type="dcterms:W3CDTF">2023-02-05T15:51:35Z</dcterms:modified>
</cp:coreProperties>
</file>